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0cef368d536eafc/PC Documents/Excel Work/"/>
    </mc:Choice>
  </mc:AlternateContent>
  <xr:revisionPtr revIDLastSave="2354" documentId="8_{FE538989-FA6E-4F35-BEC9-04B13919C478}" xr6:coauthVersionLast="47" xr6:coauthVersionMax="47" xr10:uidLastSave="{3056342C-91CA-4AAB-95EE-50CCBC4BF988}"/>
  <bookViews>
    <workbookView xWindow="-120" yWindow="-120" windowWidth="29040" windowHeight="15840" xr2:uid="{86DA4D7C-B9B5-48E7-B45F-B0D06CE6018F}"/>
  </bookViews>
  <sheets>
    <sheet name="Start" sheetId="11" r:id="rId1"/>
    <sheet name="Calendar Template" sheetId="1" state="hidden" r:id="rId2"/>
    <sheet name="Progression Tracker" sheetId="54" state="hidden" r:id="rId3"/>
    <sheet name="April 2023" sheetId="57" r:id="rId4"/>
    <sheet name="Example Progress Tracker" sheetId="58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" i="58" l="1"/>
  <c r="U2" i="58"/>
  <c r="A2" i="58"/>
  <c r="A3" i="58" s="1"/>
  <c r="A4" i="58" s="1"/>
  <c r="A5" i="58" s="1"/>
  <c r="A6" i="58" s="1"/>
  <c r="A7" i="58" s="1"/>
  <c r="A8" i="58" s="1"/>
  <c r="G2" i="58" s="1"/>
  <c r="G3" i="58" s="1"/>
  <c r="G4" i="58" s="1"/>
  <c r="G5" i="58" s="1"/>
  <c r="G6" i="58" s="1"/>
  <c r="G7" i="58" s="1"/>
  <c r="G8" i="58" s="1"/>
  <c r="M2" i="58" s="1"/>
  <c r="M3" i="58" s="1"/>
  <c r="M4" i="58" s="1"/>
  <c r="M5" i="58" s="1"/>
  <c r="M6" i="58" s="1"/>
  <c r="M7" i="58" s="1"/>
  <c r="M8" i="58" s="1"/>
  <c r="S2" i="58" s="1"/>
  <c r="S3" i="58" s="1"/>
  <c r="S4" i="58" s="1"/>
  <c r="S5" i="58" s="1"/>
  <c r="S6" i="58" s="1"/>
  <c r="S7" i="58" s="1"/>
  <c r="S8" i="58" s="1"/>
  <c r="I2" i="58"/>
  <c r="C2" i="58"/>
  <c r="A3" i="54"/>
  <c r="A4" i="54" s="1"/>
  <c r="A5" i="54" s="1"/>
  <c r="A6" i="54" s="1"/>
  <c r="A7" i="54" s="1"/>
  <c r="A8" i="54" s="1"/>
  <c r="G2" i="54" s="1"/>
  <c r="G3" i="54" s="1"/>
  <c r="G4" i="54" s="1"/>
  <c r="G5" i="54" s="1"/>
  <c r="G6" i="54" s="1"/>
  <c r="G7" i="54" s="1"/>
  <c r="G8" i="54" s="1"/>
  <c r="M2" i="54" s="1"/>
  <c r="M3" i="54" s="1"/>
  <c r="M4" i="54" s="1"/>
  <c r="M5" i="54" s="1"/>
  <c r="M6" i="54" s="1"/>
  <c r="M7" i="54" s="1"/>
  <c r="M8" i="54" s="1"/>
  <c r="S2" i="54" s="1"/>
  <c r="S3" i="54" s="1"/>
  <c r="S4" i="54" s="1"/>
  <c r="S5" i="54" s="1"/>
  <c r="S6" i="54" s="1"/>
  <c r="S7" i="54" s="1"/>
  <c r="S8" i="54" s="1"/>
  <c r="I38" i="57"/>
  <c r="I31" i="57"/>
  <c r="I24" i="57"/>
  <c r="I17" i="57"/>
  <c r="I10" i="57"/>
  <c r="I3" i="57"/>
  <c r="U2" i="54"/>
  <c r="O2" i="54"/>
  <c r="I2" i="54"/>
  <c r="C2" i="54"/>
  <c r="I31" i="1"/>
  <c r="I24" i="1"/>
  <c r="I17" i="1"/>
  <c r="I10" i="1"/>
  <c r="I3" i="1"/>
</calcChain>
</file>

<file path=xl/sharedStrings.xml><?xml version="1.0" encoding="utf-8"?>
<sst xmlns="http://schemas.openxmlformats.org/spreadsheetml/2006/main" count="102" uniqueCount="26">
  <si>
    <t>Sunday</t>
  </si>
  <si>
    <t>Monday</t>
  </si>
  <si>
    <t>Tuesday</t>
  </si>
  <si>
    <t>Wednesday</t>
  </si>
  <si>
    <t>Thursday</t>
  </si>
  <si>
    <t>Friday</t>
  </si>
  <si>
    <t>Saturday</t>
  </si>
  <si>
    <t>April</t>
  </si>
  <si>
    <t xml:space="preserve">&lt;Write your task here&gt;
Take it one day at a time.
Alt + Enter = new line
Dropdown list below 
</t>
  </si>
  <si>
    <t>Pass</t>
  </si>
  <si>
    <t>Completed</t>
  </si>
  <si>
    <t>Will Finish By Friday</t>
  </si>
  <si>
    <t>Will Finish By Tuesday</t>
  </si>
  <si>
    <t>Week 1</t>
  </si>
  <si>
    <t>Make yo bed</t>
  </si>
  <si>
    <t>Week 2</t>
  </si>
  <si>
    <t>Week 3</t>
  </si>
  <si>
    <t>Week 4</t>
  </si>
  <si>
    <t xml:space="preserve">Rest day
</t>
  </si>
  <si>
    <t>30 Jumping Jacks
20, 15, 10 abdominal Crunches
20, 16, 10 Heel touches
10, 15, 10 push ups</t>
  </si>
  <si>
    <t xml:space="preserve">20 Jumping Jacks
10, 5 abdominal Crunches
15, 10 push ups
</t>
  </si>
  <si>
    <t xml:space="preserve">20 Jumping Jacks
10, 15 abdominal Crunches
10, 15 push ups
</t>
  </si>
  <si>
    <t xml:space="preserve">30 Jumping Jacks
15, 20 abdominal Crunches
10, 15 push ups
</t>
  </si>
  <si>
    <t>30 Jumping Jacks
10, 15, 10 abdominal Crunches
10, 8, 10 Heel touches
10, 5, 10 push ups</t>
  </si>
  <si>
    <t>Will Finish By Thursday</t>
  </si>
  <si>
    <t>Fail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</si>
</sst>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24"/>
      <color theme="0"/>
      <name val="Georgia"/>
      <family val="1"/>
    </font>
    <font>
      <sz val="24"/>
      <color rgb="FF0070C0"/>
      <name val="Georgia"/>
      <family val="1"/>
    </font>
    <font>
      <sz val="11"/>
      <color theme="1"/>
      <name val="Georgia"/>
      <family val="1"/>
    </font>
    <font>
      <sz val="14"/>
      <color theme="0"/>
      <name val="Georgia"/>
      <family val="1"/>
    </font>
    <font>
      <sz val="11"/>
      <color rgb="FF000000"/>
      <name val="Calibri"/>
      <family val="2"/>
    </font>
    <font>
      <sz val="20"/>
      <color theme="1"/>
      <name val="Georgia"/>
      <family val="1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2" borderId="0" xfId="0" applyFont="1" applyFill="1"/>
    <xf numFmtId="0" fontId="3" fillId="0" borderId="0" xfId="0" applyFont="1"/>
    <xf numFmtId="0" fontId="4" fillId="3" borderId="0" xfId="0" applyFont="1" applyFill="1"/>
    <xf numFmtId="0" fontId="4" fillId="2" borderId="0" xfId="0" applyFont="1" applyFill="1"/>
    <xf numFmtId="0" fontId="0" fillId="4" borderId="1" xfId="0" applyFill="1" applyBorder="1"/>
    <xf numFmtId="14" fontId="3" fillId="0" borderId="0" xfId="0" applyNumberFormat="1" applyFont="1"/>
    <xf numFmtId="0" fontId="6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2" fillId="0" borderId="0" xfId="0" applyFont="1"/>
    <xf numFmtId="0" fontId="3" fillId="0" borderId="0" xfId="0" applyFont="1" applyAlignment="1">
      <alignment horizontal="center"/>
    </xf>
    <xf numFmtId="0" fontId="6" fillId="0" borderId="0" xfId="0" applyFont="1" applyAlignment="1">
      <alignment vertical="center" wrapText="1"/>
    </xf>
    <xf numFmtId="0" fontId="3" fillId="4" borderId="1" xfId="0" applyFont="1" applyFill="1" applyBorder="1"/>
    <xf numFmtId="1" fontId="0" fillId="0" borderId="0" xfId="0" applyNumberFormat="1" applyAlignment="1">
      <alignment horizontal="center" wrapText="1"/>
    </xf>
    <xf numFmtId="1" fontId="0" fillId="0" borderId="0" xfId="0" applyNumberFormat="1" applyAlignment="1">
      <alignment horizontal="center"/>
    </xf>
    <xf numFmtId="1" fontId="0" fillId="0" borderId="2" xfId="0" applyNumberFormat="1" applyBorder="1" applyAlignment="1">
      <alignment horizontal="center" wrapText="1"/>
    </xf>
    <xf numFmtId="1" fontId="0" fillId="4" borderId="1" xfId="0" applyNumberFormat="1" applyFill="1" applyBorder="1"/>
    <xf numFmtId="1" fontId="0" fillId="0" borderId="0" xfId="0" applyNumberFormat="1"/>
  </cellXfs>
  <cellStyles count="1">
    <cellStyle name="Normal" xfId="0" builtinId="0"/>
  </cellStyles>
  <dxfs count="192"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  <dxf>
      <font>
        <color theme="1"/>
      </font>
      <numFmt numFmtId="13" formatCode="0%"/>
      <fill>
        <patternFill>
          <bgColor rgb="FFFF0000"/>
        </patternFill>
      </fill>
    </dxf>
    <dxf>
      <numFmt numFmtId="13" formatCode="0%"/>
      <fill>
        <patternFill>
          <bgColor rgb="FFFF9933"/>
        </patternFill>
      </fill>
    </dxf>
    <dxf>
      <numFmt numFmtId="13" formatCode="0%"/>
      <fill>
        <patternFill>
          <bgColor rgb="FFFFFF00"/>
        </patternFill>
      </fill>
    </dxf>
    <dxf>
      <numFmt numFmtId="13" formatCode="0%"/>
      <fill>
        <patternFill>
          <bgColor rgb="FF99FF33"/>
        </patternFill>
      </fill>
    </dxf>
    <dxf>
      <numFmt numFmtId="13" formatCode="0%"/>
      <fill>
        <patternFill>
          <bgColor rgb="FF92D050"/>
        </patternFill>
      </fill>
    </dxf>
    <dxf>
      <numFmt numFmtId="13" formatCode="0%"/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99FF33"/>
      <color rgb="FFFF9933"/>
      <color rgb="FFFF33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Calendar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Progress Tracker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2F9D0-7FA4-40BB-B118-DF97C0F406C0}">
  <sheetPr codeName="Start"/>
  <dimension ref="A1:I13"/>
  <sheetViews>
    <sheetView tabSelected="1" workbookViewId="0">
      <selection activeCell="H7" sqref="H7"/>
    </sheetView>
  </sheetViews>
  <sheetFormatPr defaultColWidth="0" defaultRowHeight="15" zeroHeight="1" x14ac:dyDescent="0.25"/>
  <cols>
    <col min="1" max="9" width="9.7109375" customWidth="1"/>
    <col min="10" max="16384" width="9.710937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ht="18.75" customHeight="1" x14ac:dyDescent="0.25"/>
    <row r="9" x14ac:dyDescent="0.25"/>
    <row r="10" x14ac:dyDescent="0.25"/>
    <row r="11" x14ac:dyDescent="0.25"/>
    <row r="12" x14ac:dyDescent="0.25"/>
    <row r="13" x14ac:dyDescent="0.25"/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reateCalendar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ProgressionTracker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8746E-ED68-443A-A37B-231A3D5AF408}">
  <sheetPr codeName="Calendar"/>
  <dimension ref="A1:K44"/>
  <sheetViews>
    <sheetView workbookViewId="0">
      <selection activeCell="M7" sqref="M7"/>
    </sheetView>
  </sheetViews>
  <sheetFormatPr defaultRowHeight="15" x14ac:dyDescent="0.25"/>
  <cols>
    <col min="1" max="1" width="20.7109375" customWidth="1"/>
    <col min="2" max="2" width="20.85546875" bestFit="1" customWidth="1"/>
    <col min="3" max="3" width="24.140625" bestFit="1" customWidth="1"/>
    <col min="4" max="4" width="21.7109375" bestFit="1" customWidth="1"/>
    <col min="5" max="5" width="24.140625" bestFit="1" customWidth="1"/>
    <col min="6" max="6" width="21.42578125" bestFit="1" customWidth="1"/>
    <col min="7" max="7" width="20" bestFit="1" customWidth="1"/>
  </cols>
  <sheetData>
    <row r="1" spans="1:11" ht="30" x14ac:dyDescent="0.4">
      <c r="A1" s="1"/>
      <c r="B1" s="10"/>
      <c r="C1" s="10"/>
      <c r="D1" s="10"/>
      <c r="E1" s="10"/>
      <c r="F1" s="10"/>
      <c r="G1" s="10"/>
    </row>
    <row r="2" spans="1:11" ht="18" customHeight="1" x14ac:dyDescent="0.25">
      <c r="A2" s="3" t="s">
        <v>0</v>
      </c>
      <c r="B2" s="4" t="s">
        <v>1</v>
      </c>
      <c r="C2" s="3" t="s">
        <v>2</v>
      </c>
      <c r="D2" s="4" t="s">
        <v>3</v>
      </c>
      <c r="E2" s="3" t="s">
        <v>4</v>
      </c>
      <c r="F2" s="4" t="s">
        <v>5</v>
      </c>
      <c r="G2" s="3" t="s">
        <v>6</v>
      </c>
      <c r="I2" s="12"/>
      <c r="J2" s="12"/>
      <c r="K2" s="12"/>
    </row>
    <row r="3" spans="1:11" ht="15" customHeight="1" x14ac:dyDescent="0.25">
      <c r="A3" s="2"/>
      <c r="B3" s="2"/>
      <c r="C3" s="2"/>
      <c r="D3" s="2"/>
      <c r="E3" s="2"/>
      <c r="F3" s="2"/>
      <c r="G3" s="2"/>
      <c r="I3" s="7" t="e">
        <f>IF(COUNTA(A9:G9)&lt;G3, "Aim to be productive for x/"&amp;G3&amp;" days", COUNTIF(A9:G9, "Completed")/G3)</f>
        <v>#DIV/0!</v>
      </c>
      <c r="J3" s="7"/>
      <c r="K3" s="7"/>
    </row>
    <row r="4" spans="1:11" ht="15" customHeight="1" x14ac:dyDescent="0.25">
      <c r="A4" s="9" t="s">
        <v>8</v>
      </c>
      <c r="B4" s="8"/>
      <c r="C4" s="8"/>
      <c r="D4" s="8"/>
      <c r="E4" s="8"/>
      <c r="F4" s="8"/>
      <c r="G4" s="8"/>
      <c r="I4" s="7"/>
      <c r="J4" s="7"/>
      <c r="K4" s="7"/>
    </row>
    <row r="5" spans="1:11" ht="15" customHeight="1" x14ac:dyDescent="0.25">
      <c r="A5" s="8"/>
      <c r="B5" s="8"/>
      <c r="C5" s="8"/>
      <c r="D5" s="8"/>
      <c r="E5" s="8"/>
      <c r="F5" s="8"/>
      <c r="G5" s="8"/>
      <c r="I5" s="7"/>
      <c r="J5" s="7"/>
      <c r="K5" s="7"/>
    </row>
    <row r="6" spans="1:11" ht="15" customHeight="1" x14ac:dyDescent="0.25">
      <c r="A6" s="8"/>
      <c r="B6" s="8"/>
      <c r="C6" s="8"/>
      <c r="D6" s="8"/>
      <c r="E6" s="8"/>
      <c r="F6" s="8"/>
      <c r="G6" s="8"/>
      <c r="I6" s="7"/>
      <c r="J6" s="7"/>
      <c r="K6" s="7"/>
    </row>
    <row r="7" spans="1:11" ht="15" customHeight="1" x14ac:dyDescent="0.25">
      <c r="A7" s="8"/>
      <c r="B7" s="8"/>
      <c r="C7" s="8"/>
      <c r="D7" s="8"/>
      <c r="E7" s="8"/>
      <c r="F7" s="8"/>
      <c r="G7" s="8"/>
      <c r="I7" s="7"/>
      <c r="J7" s="7"/>
      <c r="K7" s="7"/>
    </row>
    <row r="8" spans="1:11" ht="15" customHeight="1" x14ac:dyDescent="0.25">
      <c r="A8" s="8"/>
      <c r="B8" s="8"/>
      <c r="C8" s="8"/>
      <c r="D8" s="8"/>
      <c r="E8" s="8"/>
      <c r="F8" s="8"/>
      <c r="G8" s="8"/>
      <c r="I8" s="7"/>
      <c r="J8" s="7"/>
      <c r="K8" s="7"/>
    </row>
    <row r="9" spans="1:11" ht="15" customHeight="1" x14ac:dyDescent="0.25">
      <c r="A9" s="5"/>
      <c r="B9" s="5"/>
      <c r="C9" s="5"/>
      <c r="D9" s="5"/>
      <c r="E9" s="5"/>
      <c r="F9" s="5"/>
      <c r="G9" s="5"/>
    </row>
    <row r="10" spans="1:11" x14ac:dyDescent="0.25">
      <c r="I10" s="7" t="str">
        <f>IF(COUNTA(A16:G16)&lt;7, "Aim to be productive for x/7 days", COUNTIF(A16:G16, "Completed")/7)</f>
        <v>Aim to be productive for x/7 days</v>
      </c>
      <c r="J10" s="7"/>
      <c r="K10" s="7"/>
    </row>
    <row r="11" spans="1:11" ht="15" customHeight="1" x14ac:dyDescent="0.25">
      <c r="A11" s="9"/>
      <c r="B11" s="8"/>
      <c r="C11" s="8"/>
      <c r="D11" s="8"/>
      <c r="E11" s="8"/>
      <c r="F11" s="8"/>
      <c r="G11" s="8"/>
      <c r="I11" s="7"/>
      <c r="J11" s="7"/>
      <c r="K11" s="7"/>
    </row>
    <row r="12" spans="1:11" ht="15" customHeight="1" x14ac:dyDescent="0.25">
      <c r="A12" s="8"/>
      <c r="B12" s="8"/>
      <c r="C12" s="8"/>
      <c r="D12" s="8"/>
      <c r="E12" s="8"/>
      <c r="F12" s="8"/>
      <c r="G12" s="8"/>
      <c r="I12" s="7"/>
      <c r="J12" s="7"/>
      <c r="K12" s="7"/>
    </row>
    <row r="13" spans="1:11" ht="15" customHeight="1" x14ac:dyDescent="0.25">
      <c r="A13" s="8"/>
      <c r="B13" s="8"/>
      <c r="C13" s="8"/>
      <c r="D13" s="8"/>
      <c r="E13" s="8"/>
      <c r="F13" s="8"/>
      <c r="G13" s="8"/>
      <c r="I13" s="7"/>
      <c r="J13" s="7"/>
      <c r="K13" s="7"/>
    </row>
    <row r="14" spans="1:11" ht="15" customHeight="1" x14ac:dyDescent="0.25">
      <c r="A14" s="8"/>
      <c r="B14" s="8"/>
      <c r="C14" s="8"/>
      <c r="D14" s="8"/>
      <c r="E14" s="8"/>
      <c r="F14" s="8"/>
      <c r="G14" s="8"/>
      <c r="I14" s="7"/>
      <c r="J14" s="7"/>
      <c r="K14" s="7"/>
    </row>
    <row r="15" spans="1:11" x14ac:dyDescent="0.25">
      <c r="A15" s="8"/>
      <c r="B15" s="8"/>
      <c r="C15" s="8"/>
      <c r="D15" s="8"/>
      <c r="E15" s="8"/>
      <c r="F15" s="8"/>
      <c r="G15" s="8"/>
      <c r="I15" s="7"/>
      <c r="J15" s="7"/>
      <c r="K15" s="7"/>
    </row>
    <row r="16" spans="1:11" ht="15" customHeight="1" x14ac:dyDescent="0.25">
      <c r="A16" s="5"/>
      <c r="B16" s="5"/>
      <c r="C16" s="5"/>
      <c r="D16" s="5"/>
      <c r="E16" s="5"/>
      <c r="F16" s="5"/>
      <c r="G16" s="5"/>
    </row>
    <row r="17" spans="1:11" x14ac:dyDescent="0.25">
      <c r="I17" s="7" t="str">
        <f>IF(COUNTA(A23:G23)&lt;7, "Aim to be productive for x/7 days", COUNTIF(A23:G23, "Completed")/7)</f>
        <v>Aim to be productive for x/7 days</v>
      </c>
      <c r="J17" s="7"/>
      <c r="K17" s="7"/>
    </row>
    <row r="18" spans="1:11" ht="15" customHeight="1" x14ac:dyDescent="0.25">
      <c r="A18" s="9"/>
      <c r="B18" s="8"/>
      <c r="C18" s="8"/>
      <c r="D18" s="8"/>
      <c r="E18" s="8"/>
      <c r="F18" s="8"/>
      <c r="G18" s="8"/>
      <c r="I18" s="7"/>
      <c r="J18" s="7"/>
      <c r="K18" s="7"/>
    </row>
    <row r="19" spans="1:11" ht="15" customHeight="1" x14ac:dyDescent="0.25">
      <c r="A19" s="8"/>
      <c r="B19" s="8"/>
      <c r="C19" s="8"/>
      <c r="D19" s="8"/>
      <c r="E19" s="8"/>
      <c r="F19" s="8"/>
      <c r="G19" s="8"/>
      <c r="I19" s="7"/>
      <c r="J19" s="7"/>
      <c r="K19" s="7"/>
    </row>
    <row r="20" spans="1:11" ht="15" customHeight="1" x14ac:dyDescent="0.25">
      <c r="A20" s="8"/>
      <c r="B20" s="8"/>
      <c r="C20" s="8"/>
      <c r="D20" s="8"/>
      <c r="E20" s="8"/>
      <c r="F20" s="8"/>
      <c r="G20" s="8"/>
      <c r="I20" s="7"/>
      <c r="J20" s="7"/>
      <c r="K20" s="7"/>
    </row>
    <row r="21" spans="1:11" ht="15" customHeight="1" x14ac:dyDescent="0.25">
      <c r="A21" s="8"/>
      <c r="B21" s="8"/>
      <c r="C21" s="8"/>
      <c r="D21" s="8"/>
      <c r="E21" s="8"/>
      <c r="F21" s="8"/>
      <c r="G21" s="8"/>
      <c r="I21" s="7"/>
      <c r="J21" s="7"/>
      <c r="K21" s="7"/>
    </row>
    <row r="22" spans="1:11" x14ac:dyDescent="0.25">
      <c r="A22" s="8"/>
      <c r="B22" s="8"/>
      <c r="C22" s="8"/>
      <c r="D22" s="8"/>
      <c r="E22" s="8"/>
      <c r="F22" s="8"/>
      <c r="G22" s="8"/>
      <c r="I22" s="7"/>
      <c r="J22" s="7"/>
      <c r="K22" s="7"/>
    </row>
    <row r="23" spans="1:11" ht="15" customHeight="1" x14ac:dyDescent="0.25">
      <c r="A23" s="5"/>
      <c r="B23" s="5"/>
      <c r="C23" s="5"/>
      <c r="D23" s="5"/>
      <c r="E23" s="5"/>
      <c r="F23" s="5"/>
      <c r="G23" s="5"/>
    </row>
    <row r="24" spans="1:11" x14ac:dyDescent="0.25">
      <c r="I24" s="7" t="str">
        <f>IF(COUNTA(A30:G30)&lt;7, "Aim to be productive for x/7 days", COUNTIF(A30:G30, "Completed")/7)</f>
        <v>Aim to be productive for x/7 days</v>
      </c>
      <c r="J24" s="7"/>
      <c r="K24" s="7"/>
    </row>
    <row r="25" spans="1:11" ht="15" customHeight="1" x14ac:dyDescent="0.25">
      <c r="A25" s="9"/>
      <c r="B25" s="8"/>
      <c r="C25" s="8"/>
      <c r="D25" s="8"/>
      <c r="E25" s="8"/>
      <c r="F25" s="8"/>
      <c r="G25" s="8"/>
      <c r="I25" s="7"/>
      <c r="J25" s="7"/>
      <c r="K25" s="7"/>
    </row>
    <row r="26" spans="1:11" ht="15" customHeight="1" x14ac:dyDescent="0.25">
      <c r="A26" s="8"/>
      <c r="B26" s="8"/>
      <c r="C26" s="8"/>
      <c r="D26" s="8"/>
      <c r="E26" s="8"/>
      <c r="F26" s="8"/>
      <c r="G26" s="8"/>
      <c r="I26" s="7"/>
      <c r="J26" s="7"/>
      <c r="K26" s="7"/>
    </row>
    <row r="27" spans="1:11" ht="15" customHeight="1" x14ac:dyDescent="0.25">
      <c r="A27" s="8"/>
      <c r="B27" s="8"/>
      <c r="C27" s="8"/>
      <c r="D27" s="8"/>
      <c r="E27" s="8"/>
      <c r="F27" s="8"/>
      <c r="G27" s="8"/>
      <c r="I27" s="7"/>
      <c r="J27" s="7"/>
      <c r="K27" s="7"/>
    </row>
    <row r="28" spans="1:11" ht="15" customHeight="1" x14ac:dyDescent="0.25">
      <c r="A28" s="8"/>
      <c r="B28" s="8"/>
      <c r="C28" s="8"/>
      <c r="D28" s="8"/>
      <c r="E28" s="8"/>
      <c r="F28" s="8"/>
      <c r="G28" s="8"/>
      <c r="I28" s="7"/>
      <c r="J28" s="7"/>
      <c r="K28" s="7"/>
    </row>
    <row r="29" spans="1:11" x14ac:dyDescent="0.25">
      <c r="A29" s="8"/>
      <c r="B29" s="8"/>
      <c r="C29" s="8"/>
      <c r="D29" s="8"/>
      <c r="E29" s="8"/>
      <c r="F29" s="8"/>
      <c r="G29" s="8"/>
      <c r="I29" s="7"/>
      <c r="J29" s="7"/>
      <c r="K29" s="7"/>
    </row>
    <row r="30" spans="1:11" ht="15" customHeight="1" x14ac:dyDescent="0.25">
      <c r="A30" s="5"/>
      <c r="B30" s="5"/>
      <c r="C30" s="5"/>
      <c r="D30" s="5"/>
      <c r="E30" s="5"/>
      <c r="F30" s="5"/>
      <c r="G30" s="5"/>
    </row>
    <row r="31" spans="1:11" x14ac:dyDescent="0.25">
      <c r="I31" s="7" t="str">
        <f>IF(COUNTA(A37:G37)&lt;7, "Aim to be productive for x/7 days", COUNTIF(A37:G37, "Completed")/7)</f>
        <v>Aim to be productive for x/7 days</v>
      </c>
      <c r="J31" s="7"/>
      <c r="K31" s="7"/>
    </row>
    <row r="32" spans="1:11" ht="15" customHeight="1" x14ac:dyDescent="0.25">
      <c r="A32" s="9"/>
      <c r="B32" s="8"/>
      <c r="C32" s="8"/>
      <c r="D32" s="8"/>
      <c r="E32" s="8"/>
      <c r="F32" s="8"/>
      <c r="G32" s="8"/>
      <c r="I32" s="7"/>
      <c r="J32" s="7"/>
      <c r="K32" s="7"/>
    </row>
    <row r="33" spans="1:11" ht="15" customHeight="1" x14ac:dyDescent="0.25">
      <c r="A33" s="8"/>
      <c r="B33" s="8"/>
      <c r="C33" s="8"/>
      <c r="D33" s="8"/>
      <c r="E33" s="8"/>
      <c r="F33" s="8"/>
      <c r="G33" s="8"/>
      <c r="I33" s="7"/>
      <c r="J33" s="7"/>
      <c r="K33" s="7"/>
    </row>
    <row r="34" spans="1:11" ht="15" customHeight="1" x14ac:dyDescent="0.25">
      <c r="A34" s="8"/>
      <c r="B34" s="8"/>
      <c r="C34" s="8"/>
      <c r="D34" s="8"/>
      <c r="E34" s="8"/>
      <c r="F34" s="8"/>
      <c r="G34" s="8"/>
      <c r="I34" s="7"/>
      <c r="J34" s="7"/>
      <c r="K34" s="7"/>
    </row>
    <row r="35" spans="1:11" ht="15" customHeight="1" x14ac:dyDescent="0.25">
      <c r="A35" s="8"/>
      <c r="B35" s="8"/>
      <c r="C35" s="8"/>
      <c r="D35" s="8"/>
      <c r="E35" s="8"/>
      <c r="F35" s="8"/>
      <c r="G35" s="8"/>
      <c r="I35" s="7"/>
      <c r="J35" s="7"/>
      <c r="K35" s="7"/>
    </row>
    <row r="36" spans="1:11" x14ac:dyDescent="0.25">
      <c r="A36" s="8"/>
      <c r="B36" s="8"/>
      <c r="C36" s="8"/>
      <c r="D36" s="8"/>
      <c r="E36" s="8"/>
      <c r="F36" s="8"/>
      <c r="G36" s="8"/>
      <c r="I36" s="7"/>
      <c r="J36" s="7"/>
      <c r="K36" s="7"/>
    </row>
    <row r="37" spans="1:11" x14ac:dyDescent="0.25">
      <c r="A37" s="5"/>
      <c r="B37" s="5"/>
      <c r="C37" s="5"/>
      <c r="D37" s="5"/>
      <c r="E37" s="5"/>
      <c r="F37" s="5"/>
      <c r="G37" s="5"/>
    </row>
    <row r="39" spans="1:11" x14ac:dyDescent="0.25">
      <c r="A39" s="9"/>
      <c r="B39" s="8"/>
      <c r="C39" s="8"/>
      <c r="D39" s="8"/>
      <c r="E39" s="8"/>
      <c r="F39" s="8"/>
      <c r="G39" s="8"/>
    </row>
    <row r="40" spans="1:11" x14ac:dyDescent="0.25">
      <c r="A40" s="8"/>
      <c r="B40" s="8"/>
      <c r="C40" s="8"/>
      <c r="D40" s="8"/>
      <c r="E40" s="8"/>
      <c r="F40" s="8"/>
      <c r="G40" s="8"/>
    </row>
    <row r="41" spans="1:11" x14ac:dyDescent="0.25">
      <c r="A41" s="8"/>
      <c r="B41" s="8"/>
      <c r="C41" s="8"/>
      <c r="D41" s="8"/>
      <c r="E41" s="8"/>
      <c r="F41" s="8"/>
      <c r="G41" s="8"/>
    </row>
    <row r="42" spans="1:11" x14ac:dyDescent="0.25">
      <c r="A42" s="8"/>
      <c r="B42" s="8"/>
      <c r="C42" s="8"/>
      <c r="D42" s="8"/>
      <c r="E42" s="8"/>
      <c r="F42" s="8"/>
      <c r="G42" s="8"/>
    </row>
    <row r="43" spans="1:11" x14ac:dyDescent="0.25">
      <c r="A43" s="8"/>
      <c r="B43" s="8"/>
      <c r="C43" s="8"/>
      <c r="D43" s="8"/>
      <c r="E43" s="8"/>
      <c r="F43" s="8"/>
      <c r="G43" s="8"/>
    </row>
    <row r="44" spans="1:11" x14ac:dyDescent="0.25">
      <c r="A44" s="5"/>
      <c r="B44" s="5"/>
      <c r="C44" s="5"/>
      <c r="D44" s="5"/>
      <c r="E44" s="5"/>
      <c r="F44" s="5"/>
      <c r="G44" s="5"/>
    </row>
  </sheetData>
  <mergeCells count="48">
    <mergeCell ref="I3:K8"/>
    <mergeCell ref="I10:K15"/>
    <mergeCell ref="I17:K22"/>
    <mergeCell ref="I24:K29"/>
    <mergeCell ref="I31:K36"/>
    <mergeCell ref="G11:G15"/>
    <mergeCell ref="A18:A22"/>
    <mergeCell ref="B18:B22"/>
    <mergeCell ref="C18:C22"/>
    <mergeCell ref="D18:D22"/>
    <mergeCell ref="E18:E22"/>
    <mergeCell ref="F18:F22"/>
    <mergeCell ref="G18:G22"/>
    <mergeCell ref="F39:F43"/>
    <mergeCell ref="G39:G43"/>
    <mergeCell ref="A39:A43"/>
    <mergeCell ref="B39:B43"/>
    <mergeCell ref="C39:C43"/>
    <mergeCell ref="D39:D43"/>
    <mergeCell ref="E39:E43"/>
    <mergeCell ref="B1:G1"/>
    <mergeCell ref="A4:A8"/>
    <mergeCell ref="B4:B8"/>
    <mergeCell ref="C4:C8"/>
    <mergeCell ref="D4:D8"/>
    <mergeCell ref="E4:E8"/>
    <mergeCell ref="F4:F8"/>
    <mergeCell ref="G4:G8"/>
    <mergeCell ref="A11:A15"/>
    <mergeCell ref="B11:B15"/>
    <mergeCell ref="C11:C15"/>
    <mergeCell ref="D11:D15"/>
    <mergeCell ref="E11:E15"/>
    <mergeCell ref="F11:F15"/>
    <mergeCell ref="G25:G29"/>
    <mergeCell ref="A32:A36"/>
    <mergeCell ref="B32:B36"/>
    <mergeCell ref="C32:C36"/>
    <mergeCell ref="D32:D36"/>
    <mergeCell ref="E32:E36"/>
    <mergeCell ref="F32:F36"/>
    <mergeCell ref="G32:G36"/>
    <mergeCell ref="A25:A29"/>
    <mergeCell ref="B25:B29"/>
    <mergeCell ref="C25:C29"/>
    <mergeCell ref="D25:D29"/>
    <mergeCell ref="E25:E29"/>
    <mergeCell ref="F25:F29"/>
  </mergeCells>
  <conditionalFormatting sqref="I3">
    <cfRule type="cellIs" dxfId="155" priority="25" stopIfTrue="1" operator="greaterThanOrEqual">
      <formula>0.9</formula>
    </cfRule>
    <cfRule type="cellIs" dxfId="154" priority="26" operator="between">
      <formula>0.8</formula>
      <formula>0.9</formula>
    </cfRule>
    <cfRule type="cellIs" dxfId="153" priority="27" operator="between">
      <formula>0.6</formula>
      <formula>0.8</formula>
    </cfRule>
    <cfRule type="cellIs" dxfId="152" priority="28" operator="between">
      <formula>0.5</formula>
      <formula>0.6</formula>
    </cfRule>
    <cfRule type="cellIs" dxfId="151" priority="29" operator="between">
      <formula>0.3</formula>
      <formula>0.5</formula>
    </cfRule>
    <cfRule type="cellIs" dxfId="150" priority="30" operator="between">
      <formula>0</formula>
      <formula>0.3</formula>
    </cfRule>
  </conditionalFormatting>
  <conditionalFormatting sqref="I10">
    <cfRule type="cellIs" dxfId="149" priority="19" stopIfTrue="1" operator="greaterThanOrEqual">
      <formula>0.9</formula>
    </cfRule>
    <cfRule type="cellIs" dxfId="148" priority="20" operator="between">
      <formula>0.8</formula>
      <formula>0.9</formula>
    </cfRule>
    <cfRule type="cellIs" dxfId="147" priority="21" operator="between">
      <formula>0.6</formula>
      <formula>0.8</formula>
    </cfRule>
    <cfRule type="cellIs" dxfId="146" priority="22" operator="between">
      <formula>0.5</formula>
      <formula>0.6</formula>
    </cfRule>
    <cfRule type="cellIs" dxfId="145" priority="23" operator="between">
      <formula>0.3</formula>
      <formula>0.5</formula>
    </cfRule>
    <cfRule type="cellIs" dxfId="144" priority="24" operator="between">
      <formula>0</formula>
      <formula>0.3</formula>
    </cfRule>
  </conditionalFormatting>
  <conditionalFormatting sqref="I17">
    <cfRule type="cellIs" dxfId="143" priority="13" stopIfTrue="1" operator="greaterThanOrEqual">
      <formula>0.9</formula>
    </cfRule>
    <cfRule type="cellIs" dxfId="142" priority="14" operator="between">
      <formula>0.8</formula>
      <formula>0.9</formula>
    </cfRule>
    <cfRule type="cellIs" dxfId="141" priority="15" operator="between">
      <formula>0.6</formula>
      <formula>0.8</formula>
    </cfRule>
    <cfRule type="cellIs" dxfId="140" priority="16" operator="between">
      <formula>0.5</formula>
      <formula>0.6</formula>
    </cfRule>
    <cfRule type="cellIs" dxfId="139" priority="17" operator="between">
      <formula>0.3</formula>
      <formula>0.5</formula>
    </cfRule>
    <cfRule type="cellIs" dxfId="138" priority="18" operator="between">
      <formula>0</formula>
      <formula>0.3</formula>
    </cfRule>
  </conditionalFormatting>
  <conditionalFormatting sqref="I24">
    <cfRule type="cellIs" dxfId="137" priority="7" stopIfTrue="1" operator="greaterThanOrEqual">
      <formula>0.9</formula>
    </cfRule>
    <cfRule type="cellIs" dxfId="136" priority="8" operator="between">
      <formula>0.8</formula>
      <formula>0.9</formula>
    </cfRule>
    <cfRule type="cellIs" dxfId="135" priority="9" operator="between">
      <formula>0.6</formula>
      <formula>0.8</formula>
    </cfRule>
    <cfRule type="cellIs" dxfId="134" priority="10" operator="between">
      <formula>0.5</formula>
      <formula>0.6</formula>
    </cfRule>
    <cfRule type="cellIs" dxfId="133" priority="11" operator="between">
      <formula>0.3</formula>
      <formula>0.5</formula>
    </cfRule>
    <cfRule type="cellIs" dxfId="132" priority="12" operator="between">
      <formula>0</formula>
      <formula>0.3</formula>
    </cfRule>
  </conditionalFormatting>
  <conditionalFormatting sqref="I31">
    <cfRule type="cellIs" dxfId="131" priority="1" stopIfTrue="1" operator="greaterThanOrEqual">
      <formula>0.9</formula>
    </cfRule>
    <cfRule type="cellIs" dxfId="130" priority="2" operator="between">
      <formula>0.8</formula>
      <formula>0.9</formula>
    </cfRule>
    <cfRule type="cellIs" dxfId="129" priority="3" operator="between">
      <formula>0.6</formula>
      <formula>0.8</formula>
    </cfRule>
    <cfRule type="cellIs" dxfId="128" priority="4" operator="between">
      <formula>0.5</formula>
      <formula>0.6</formula>
    </cfRule>
    <cfRule type="cellIs" dxfId="127" priority="5" operator="between">
      <formula>0.3</formula>
      <formula>0.5</formula>
    </cfRule>
    <cfRule type="cellIs" dxfId="126" priority="6" operator="between">
      <formula>0</formula>
      <formula>0.3</formula>
    </cfRule>
  </conditionalFormatting>
  <dataValidations count="1">
    <dataValidation type="list" allowBlank="1" showInputMessage="1" showErrorMessage="1" sqref="A44:G44 A16:G16 A23:G23 A30:G30 A37:G37 A9:G9" xr:uid="{4EC90EC1-DE35-4FB8-AD6C-161BFBAEFA18}">
      <formula1>"Completed, Will Finish By Monday, Will Finish By Tuesday, Will Finish By Wednesday, Will Finish By Thursday, Will Finish By Friday, Will Finish By Saturday, Will Finish By Sunday"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95145-AE32-486D-BF51-F1433A7A1407}">
  <sheetPr codeName="Progression_Tracker"/>
  <dimension ref="A1:W17"/>
  <sheetViews>
    <sheetView workbookViewId="0">
      <selection activeCell="M7" sqref="M7"/>
    </sheetView>
  </sheetViews>
  <sheetFormatPr defaultRowHeight="15" x14ac:dyDescent="0.25"/>
  <cols>
    <col min="1" max="1" width="12.7109375" bestFit="1" customWidth="1"/>
    <col min="7" max="7" width="12.42578125" bestFit="1" customWidth="1"/>
    <col min="11" max="11" width="12.5703125" bestFit="1" customWidth="1"/>
    <col min="13" max="13" width="12.42578125" bestFit="1" customWidth="1"/>
    <col min="19" max="19" width="12.42578125" bestFit="1" customWidth="1"/>
  </cols>
  <sheetData>
    <row r="1" spans="1:23" x14ac:dyDescent="0.25">
      <c r="A1" t="s">
        <v>13</v>
      </c>
      <c r="B1" s="2"/>
      <c r="C1" s="11"/>
      <c r="D1" s="11"/>
      <c r="E1" s="11"/>
      <c r="G1" t="s">
        <v>15</v>
      </c>
      <c r="L1" s="2"/>
      <c r="M1" t="s">
        <v>16</v>
      </c>
      <c r="S1" t="s">
        <v>17</v>
      </c>
    </row>
    <row r="2" spans="1:23" ht="15" customHeight="1" x14ac:dyDescent="0.25">
      <c r="A2" s="6"/>
      <c r="B2" s="13"/>
      <c r="C2" s="7" t="str">
        <f>IF(COUNTA(B2:B8)&lt;7, "Aim for x/7 days", COUNTIF(B2:B8, "Pass")/7)</f>
        <v>Aim for x/7 days</v>
      </c>
      <c r="D2" s="7"/>
      <c r="E2" s="7"/>
      <c r="G2" s="6">
        <f>A8+1</f>
        <v>7</v>
      </c>
      <c r="H2" s="13"/>
      <c r="I2" s="7" t="str">
        <f>IF(COUNTA(H2:H8)&lt;7, "Aim for x/7 days", COUNTIF(H2:H8, "Pass")/7)</f>
        <v>Aim for x/7 days</v>
      </c>
      <c r="J2" s="7"/>
      <c r="K2" s="7"/>
      <c r="L2" s="2"/>
      <c r="M2" s="6">
        <f>G8+1</f>
        <v>14</v>
      </c>
      <c r="N2" s="13"/>
      <c r="O2" s="7" t="str">
        <f>IF(COUNTA(N2:N8)&lt;7, "Aim for x/7 days", COUNTIF(N2:N8, "Pass")/7)</f>
        <v>Aim for x/7 days</v>
      </c>
      <c r="P2" s="7"/>
      <c r="Q2" s="7"/>
      <c r="S2" s="6">
        <f>M8+1</f>
        <v>21</v>
      </c>
      <c r="T2" s="13"/>
      <c r="U2" s="7" t="str">
        <f>IF(COUNTA(T2:T8)&lt;7, "Aim for x/7 days", COUNTIF(T2:T8, "Pass")/7)</f>
        <v>Aim for x/7 days</v>
      </c>
      <c r="V2" s="7"/>
      <c r="W2" s="7"/>
    </row>
    <row r="3" spans="1:23" ht="15" customHeight="1" x14ac:dyDescent="0.25">
      <c r="A3" s="6">
        <f>A2+1</f>
        <v>1</v>
      </c>
      <c r="B3" s="13"/>
      <c r="C3" s="7"/>
      <c r="D3" s="7"/>
      <c r="E3" s="7"/>
      <c r="G3" s="6">
        <f>G2+1</f>
        <v>8</v>
      </c>
      <c r="H3" s="13"/>
      <c r="I3" s="7"/>
      <c r="J3" s="7"/>
      <c r="K3" s="7"/>
      <c r="L3" s="2"/>
      <c r="M3" s="6">
        <f>M2+1</f>
        <v>15</v>
      </c>
      <c r="N3" s="13"/>
      <c r="O3" s="7"/>
      <c r="P3" s="7"/>
      <c r="Q3" s="7"/>
      <c r="S3" s="6">
        <f>S2+1</f>
        <v>22</v>
      </c>
      <c r="T3" s="13"/>
      <c r="U3" s="7"/>
      <c r="V3" s="7"/>
      <c r="W3" s="7"/>
    </row>
    <row r="4" spans="1:23" ht="15" customHeight="1" x14ac:dyDescent="0.25">
      <c r="A4" s="6">
        <f t="shared" ref="A4:A8" si="0">A3+1</f>
        <v>2</v>
      </c>
      <c r="B4" s="13"/>
      <c r="C4" s="7"/>
      <c r="D4" s="7"/>
      <c r="E4" s="7"/>
      <c r="G4" s="6">
        <f t="shared" ref="G4:G8" si="1">G3+1</f>
        <v>9</v>
      </c>
      <c r="H4" s="13"/>
      <c r="I4" s="7"/>
      <c r="J4" s="7"/>
      <c r="K4" s="7"/>
      <c r="L4" s="2"/>
      <c r="M4" s="6">
        <f t="shared" ref="M4:M8" si="2">M3+1</f>
        <v>16</v>
      </c>
      <c r="N4" s="13"/>
      <c r="O4" s="7"/>
      <c r="P4" s="7"/>
      <c r="Q4" s="7"/>
      <c r="S4" s="6">
        <f t="shared" ref="S4:S8" si="3">S3+1</f>
        <v>23</v>
      </c>
      <c r="T4" s="13"/>
      <c r="U4" s="7"/>
      <c r="V4" s="7"/>
      <c r="W4" s="7"/>
    </row>
    <row r="5" spans="1:23" ht="15" customHeight="1" x14ac:dyDescent="0.25">
      <c r="A5" s="6">
        <f t="shared" si="0"/>
        <v>3</v>
      </c>
      <c r="B5" s="13"/>
      <c r="C5" s="7"/>
      <c r="D5" s="7"/>
      <c r="E5" s="7"/>
      <c r="G5" s="6">
        <f t="shared" si="1"/>
        <v>10</v>
      </c>
      <c r="H5" s="13"/>
      <c r="I5" s="7"/>
      <c r="J5" s="7"/>
      <c r="K5" s="7"/>
      <c r="L5" s="2"/>
      <c r="M5" s="6">
        <f t="shared" si="2"/>
        <v>17</v>
      </c>
      <c r="N5" s="13"/>
      <c r="O5" s="7"/>
      <c r="P5" s="7"/>
      <c r="Q5" s="7"/>
      <c r="S5" s="6">
        <f t="shared" si="3"/>
        <v>24</v>
      </c>
      <c r="T5" s="13"/>
      <c r="U5" s="7"/>
      <c r="V5" s="7"/>
      <c r="W5" s="7"/>
    </row>
    <row r="6" spans="1:23" ht="15" customHeight="1" x14ac:dyDescent="0.25">
      <c r="A6" s="6">
        <f t="shared" si="0"/>
        <v>4</v>
      </c>
      <c r="B6" s="13"/>
      <c r="C6" s="7"/>
      <c r="D6" s="7"/>
      <c r="E6" s="7"/>
      <c r="G6" s="6">
        <f t="shared" si="1"/>
        <v>11</v>
      </c>
      <c r="H6" s="13"/>
      <c r="I6" s="7"/>
      <c r="J6" s="7"/>
      <c r="K6" s="7"/>
      <c r="L6" s="2"/>
      <c r="M6" s="6">
        <f t="shared" si="2"/>
        <v>18</v>
      </c>
      <c r="N6" s="13"/>
      <c r="O6" s="7"/>
      <c r="P6" s="7"/>
      <c r="Q6" s="7"/>
      <c r="S6" s="6">
        <f t="shared" si="3"/>
        <v>25</v>
      </c>
      <c r="T6" s="13"/>
      <c r="U6" s="7"/>
      <c r="V6" s="7"/>
      <c r="W6" s="7"/>
    </row>
    <row r="7" spans="1:23" ht="15" customHeight="1" x14ac:dyDescent="0.25">
      <c r="A7" s="6">
        <f t="shared" si="0"/>
        <v>5</v>
      </c>
      <c r="B7" s="13"/>
      <c r="C7" s="7"/>
      <c r="D7" s="7"/>
      <c r="E7" s="7"/>
      <c r="G7" s="6">
        <f t="shared" si="1"/>
        <v>12</v>
      </c>
      <c r="H7" s="13"/>
      <c r="I7" s="7"/>
      <c r="J7" s="7"/>
      <c r="K7" s="7"/>
      <c r="L7" s="2"/>
      <c r="M7" s="6">
        <f t="shared" si="2"/>
        <v>19</v>
      </c>
      <c r="N7" s="13"/>
      <c r="O7" s="7"/>
      <c r="P7" s="7"/>
      <c r="Q7" s="7"/>
      <c r="S7" s="6">
        <f t="shared" si="3"/>
        <v>26</v>
      </c>
      <c r="T7" s="13"/>
      <c r="U7" s="7"/>
      <c r="V7" s="7"/>
      <c r="W7" s="7"/>
    </row>
    <row r="8" spans="1:23" ht="15" customHeight="1" x14ac:dyDescent="0.25">
      <c r="A8" s="6">
        <f t="shared" si="0"/>
        <v>6</v>
      </c>
      <c r="B8" s="13"/>
      <c r="C8" s="7"/>
      <c r="D8" s="7"/>
      <c r="E8" s="7"/>
      <c r="G8" s="6">
        <f t="shared" si="1"/>
        <v>13</v>
      </c>
      <c r="H8" s="13"/>
      <c r="I8" s="7"/>
      <c r="J8" s="7"/>
      <c r="K8" s="7"/>
      <c r="L8" s="2"/>
      <c r="M8" s="6">
        <f t="shared" si="2"/>
        <v>20</v>
      </c>
      <c r="N8" s="13"/>
      <c r="O8" s="7"/>
      <c r="P8" s="7"/>
      <c r="Q8" s="7"/>
      <c r="S8" s="6">
        <f t="shared" si="3"/>
        <v>27</v>
      </c>
      <c r="T8" s="13"/>
      <c r="U8" s="7"/>
      <c r="V8" s="7"/>
      <c r="W8" s="7"/>
    </row>
    <row r="11" spans="1:23" ht="15" customHeight="1" x14ac:dyDescent="0.25"/>
    <row r="12" spans="1:23" ht="15" customHeight="1" x14ac:dyDescent="0.25"/>
    <row r="13" spans="1:23" ht="15" customHeight="1" x14ac:dyDescent="0.25"/>
    <row r="14" spans="1:23" ht="15" customHeight="1" x14ac:dyDescent="0.25"/>
    <row r="15" spans="1:23" ht="15" customHeight="1" x14ac:dyDescent="0.25"/>
    <row r="16" spans="1:23" ht="15" customHeight="1" x14ac:dyDescent="0.25"/>
    <row r="17" ht="15" customHeight="1" x14ac:dyDescent="0.25"/>
  </sheetData>
  <mergeCells count="5">
    <mergeCell ref="I2:K8"/>
    <mergeCell ref="O2:Q8"/>
    <mergeCell ref="U2:W8"/>
    <mergeCell ref="C1:E1"/>
    <mergeCell ref="C2:E8"/>
  </mergeCells>
  <conditionalFormatting sqref="C2">
    <cfRule type="cellIs" dxfId="119" priority="25" stopIfTrue="1" operator="greaterThanOrEqual">
      <formula>0.9</formula>
    </cfRule>
    <cfRule type="cellIs" dxfId="118" priority="26" operator="between">
      <formula>0.8</formula>
      <formula>0.9</formula>
    </cfRule>
    <cfRule type="cellIs" dxfId="117" priority="27" operator="between">
      <formula>0.6</formula>
      <formula>0.8</formula>
    </cfRule>
    <cfRule type="cellIs" dxfId="116" priority="28" operator="between">
      <formula>0.5</formula>
      <formula>0.6</formula>
    </cfRule>
    <cfRule type="cellIs" dxfId="115" priority="29" operator="between">
      <formula>0.3</formula>
      <formula>0.5</formula>
    </cfRule>
    <cfRule type="cellIs" dxfId="114" priority="30" operator="between">
      <formula>0</formula>
      <formula>0.3</formula>
    </cfRule>
  </conditionalFormatting>
  <conditionalFormatting sqref="I2">
    <cfRule type="cellIs" dxfId="101" priority="13" stopIfTrue="1" operator="greaterThanOrEqual">
      <formula>0.9</formula>
    </cfRule>
    <cfRule type="cellIs" dxfId="100" priority="14" operator="between">
      <formula>0.8</formula>
      <formula>0.9</formula>
    </cfRule>
    <cfRule type="cellIs" dxfId="99" priority="15" operator="between">
      <formula>0.6</formula>
      <formula>0.8</formula>
    </cfRule>
    <cfRule type="cellIs" dxfId="98" priority="16" operator="between">
      <formula>0.5</formula>
      <formula>0.6</formula>
    </cfRule>
    <cfRule type="cellIs" dxfId="97" priority="17" operator="between">
      <formula>0.3</formula>
      <formula>0.5</formula>
    </cfRule>
    <cfRule type="cellIs" dxfId="96" priority="18" operator="between">
      <formula>0</formula>
      <formula>0.3</formula>
    </cfRule>
  </conditionalFormatting>
  <conditionalFormatting sqref="O2">
    <cfRule type="cellIs" dxfId="95" priority="7" stopIfTrue="1" operator="greaterThanOrEqual">
      <formula>0.9</formula>
    </cfRule>
    <cfRule type="cellIs" dxfId="94" priority="8" operator="between">
      <formula>0.8</formula>
      <formula>0.9</formula>
    </cfRule>
    <cfRule type="cellIs" dxfId="93" priority="9" operator="between">
      <formula>0.6</formula>
      <formula>0.8</formula>
    </cfRule>
    <cfRule type="cellIs" dxfId="92" priority="10" operator="between">
      <formula>0.5</formula>
      <formula>0.6</formula>
    </cfRule>
    <cfRule type="cellIs" dxfId="91" priority="11" operator="between">
      <formula>0.3</formula>
      <formula>0.5</formula>
    </cfRule>
    <cfRule type="cellIs" dxfId="90" priority="12" operator="between">
      <formula>0</formula>
      <formula>0.3</formula>
    </cfRule>
  </conditionalFormatting>
  <conditionalFormatting sqref="U2">
    <cfRule type="cellIs" dxfId="89" priority="1" stopIfTrue="1" operator="greaterThanOrEqual">
      <formula>0.9</formula>
    </cfRule>
    <cfRule type="cellIs" dxfId="88" priority="2" operator="between">
      <formula>0.8</formula>
      <formula>0.9</formula>
    </cfRule>
    <cfRule type="cellIs" dxfId="87" priority="3" operator="between">
      <formula>0.6</formula>
      <formula>0.8</formula>
    </cfRule>
    <cfRule type="cellIs" dxfId="86" priority="4" operator="between">
      <formula>0.5</formula>
      <formula>0.6</formula>
    </cfRule>
    <cfRule type="cellIs" dxfId="85" priority="5" operator="between">
      <formula>0.3</formula>
      <formula>0.5</formula>
    </cfRule>
    <cfRule type="cellIs" dxfId="84" priority="6" operator="between">
      <formula>0</formula>
      <formula>0.3</formula>
    </cfRule>
  </conditionalFormatting>
  <dataValidations count="1">
    <dataValidation type="list" allowBlank="1" showInputMessage="1" showErrorMessage="1" sqref="L2:L8 B2:B8 H2:H8 N2:N8 T2:T8" xr:uid="{1649F7B9-D0AA-46E9-8AAF-3AF3D2E9B479}">
      <formula1>"Pass, Fail"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3F8A0-97DF-4CEC-9B06-7F1682EBB3AE}">
  <sheetPr codeName="Sheet3"/>
  <dimension ref="A1:K44"/>
  <sheetViews>
    <sheetView workbookViewId="0">
      <selection activeCell="N16" sqref="N16"/>
    </sheetView>
  </sheetViews>
  <sheetFormatPr defaultRowHeight="15" x14ac:dyDescent="0.25"/>
  <cols>
    <col min="1" max="7" width="24.7109375" customWidth="1"/>
  </cols>
  <sheetData>
    <row r="1" spans="1:11" ht="30" x14ac:dyDescent="0.4">
      <c r="A1" s="1">
        <v>2023</v>
      </c>
      <c r="B1" s="10" t="s">
        <v>7</v>
      </c>
      <c r="C1" s="10"/>
      <c r="D1" s="10"/>
      <c r="E1" s="10"/>
      <c r="F1" s="10"/>
      <c r="G1" s="10"/>
    </row>
    <row r="2" spans="1:11" ht="25.5" x14ac:dyDescent="0.25">
      <c r="A2" s="3" t="s">
        <v>0</v>
      </c>
      <c r="B2" s="4" t="s">
        <v>1</v>
      </c>
      <c r="C2" s="3" t="s">
        <v>2</v>
      </c>
      <c r="D2" s="4" t="s">
        <v>3</v>
      </c>
      <c r="E2" s="3" t="s">
        <v>4</v>
      </c>
      <c r="F2" s="4" t="s">
        <v>5</v>
      </c>
      <c r="G2" s="3" t="s">
        <v>6</v>
      </c>
      <c r="I2" s="12"/>
      <c r="J2" s="12"/>
      <c r="K2" s="12"/>
    </row>
    <row r="3" spans="1:11" x14ac:dyDescent="0.25">
      <c r="A3" s="2"/>
      <c r="B3" s="2"/>
      <c r="C3" s="2"/>
      <c r="D3" s="2"/>
      <c r="E3" s="2"/>
      <c r="F3" s="2"/>
      <c r="G3" s="2">
        <v>1</v>
      </c>
      <c r="I3" s="7">
        <f>IF(COUNTA(A9:G9)&lt;G3, "Aim to be productive for x/"&amp;G3&amp;" days", COUNTIF(A9:G9, "Completed")/G3)</f>
        <v>1</v>
      </c>
      <c r="J3" s="7"/>
      <c r="K3" s="7"/>
    </row>
    <row r="4" spans="1:11" ht="15" customHeight="1" x14ac:dyDescent="0.25">
      <c r="A4" s="14" t="s">
        <v>8</v>
      </c>
      <c r="B4" s="15"/>
      <c r="C4" s="15"/>
      <c r="D4" s="15"/>
      <c r="E4" s="15"/>
      <c r="F4" s="15"/>
      <c r="G4" s="14" t="s">
        <v>20</v>
      </c>
      <c r="I4" s="7"/>
      <c r="J4" s="7"/>
      <c r="K4" s="7"/>
    </row>
    <row r="5" spans="1:11" x14ac:dyDescent="0.25">
      <c r="A5" s="15"/>
      <c r="B5" s="15"/>
      <c r="C5" s="15"/>
      <c r="D5" s="15"/>
      <c r="E5" s="15"/>
      <c r="F5" s="15"/>
      <c r="G5" s="14"/>
      <c r="I5" s="7"/>
      <c r="J5" s="7"/>
      <c r="K5" s="7"/>
    </row>
    <row r="6" spans="1:11" x14ac:dyDescent="0.25">
      <c r="A6" s="15"/>
      <c r="B6" s="15"/>
      <c r="C6" s="15"/>
      <c r="D6" s="15"/>
      <c r="E6" s="15"/>
      <c r="F6" s="15"/>
      <c r="G6" s="14"/>
      <c r="I6" s="7"/>
      <c r="J6" s="7"/>
      <c r="K6" s="7"/>
    </row>
    <row r="7" spans="1:11" x14ac:dyDescent="0.25">
      <c r="A7" s="15"/>
      <c r="B7" s="15"/>
      <c r="C7" s="15"/>
      <c r="D7" s="15"/>
      <c r="E7" s="15"/>
      <c r="F7" s="15"/>
      <c r="G7" s="14"/>
      <c r="I7" s="7"/>
      <c r="J7" s="7"/>
      <c r="K7" s="7"/>
    </row>
    <row r="8" spans="1:11" x14ac:dyDescent="0.25">
      <c r="A8" s="15"/>
      <c r="B8" s="15"/>
      <c r="C8" s="15"/>
      <c r="D8" s="15"/>
      <c r="E8" s="15"/>
      <c r="F8" s="15"/>
      <c r="G8" s="16"/>
      <c r="I8" s="7"/>
      <c r="J8" s="7"/>
      <c r="K8" s="7"/>
    </row>
    <row r="9" spans="1:11" x14ac:dyDescent="0.25">
      <c r="A9" s="17"/>
      <c r="B9" s="17"/>
      <c r="C9" s="17"/>
      <c r="D9" s="17"/>
      <c r="E9" s="17"/>
      <c r="F9" s="17"/>
      <c r="G9" s="17" t="s">
        <v>10</v>
      </c>
    </row>
    <row r="10" spans="1:11" x14ac:dyDescent="0.25">
      <c r="A10" s="18">
        <v>2</v>
      </c>
      <c r="B10" s="18">
        <v>3</v>
      </c>
      <c r="C10" s="18">
        <v>4</v>
      </c>
      <c r="D10" s="18">
        <v>5</v>
      </c>
      <c r="E10" s="18">
        <v>6</v>
      </c>
      <c r="F10" s="18">
        <v>7</v>
      </c>
      <c r="G10" s="18">
        <v>8</v>
      </c>
      <c r="I10" s="7">
        <f>IF(COUNTA(A16:G16)&lt;7, "Aim to be productive for x/7 days", COUNTIF(A16:G16, "Completed")/7)</f>
        <v>0.7142857142857143</v>
      </c>
      <c r="J10" s="7"/>
      <c r="K10" s="7"/>
    </row>
    <row r="11" spans="1:11" ht="15" customHeight="1" x14ac:dyDescent="0.25">
      <c r="A11" s="14" t="s">
        <v>21</v>
      </c>
      <c r="B11" s="14" t="s">
        <v>22</v>
      </c>
      <c r="C11" s="14" t="s">
        <v>18</v>
      </c>
      <c r="D11" s="14" t="s">
        <v>23</v>
      </c>
      <c r="E11" s="14" t="s">
        <v>19</v>
      </c>
      <c r="F11" s="14" t="s">
        <v>18</v>
      </c>
      <c r="G11" s="14" t="s">
        <v>19</v>
      </c>
      <c r="I11" s="7"/>
      <c r="J11" s="7"/>
      <c r="K11" s="7"/>
    </row>
    <row r="12" spans="1:11" x14ac:dyDescent="0.25">
      <c r="A12" s="14"/>
      <c r="B12" s="14"/>
      <c r="C12" s="15"/>
      <c r="D12" s="14"/>
      <c r="E12" s="14"/>
      <c r="F12" s="15"/>
      <c r="G12" s="14"/>
      <c r="I12" s="7"/>
      <c r="J12" s="7"/>
      <c r="K12" s="7"/>
    </row>
    <row r="13" spans="1:11" x14ac:dyDescent="0.25">
      <c r="A13" s="14"/>
      <c r="B13" s="14"/>
      <c r="C13" s="15"/>
      <c r="D13" s="14"/>
      <c r="E13" s="14"/>
      <c r="F13" s="15"/>
      <c r="G13" s="14"/>
      <c r="I13" s="7"/>
      <c r="J13" s="7"/>
      <c r="K13" s="7"/>
    </row>
    <row r="14" spans="1:11" x14ac:dyDescent="0.25">
      <c r="A14" s="14"/>
      <c r="B14" s="14"/>
      <c r="C14" s="15"/>
      <c r="D14" s="14"/>
      <c r="E14" s="14"/>
      <c r="F14" s="15"/>
      <c r="G14" s="14"/>
      <c r="I14" s="7"/>
      <c r="J14" s="7"/>
      <c r="K14" s="7"/>
    </row>
    <row r="15" spans="1:11" x14ac:dyDescent="0.25">
      <c r="A15" s="16"/>
      <c r="B15" s="16"/>
      <c r="C15" s="15"/>
      <c r="D15" s="16"/>
      <c r="E15" s="16"/>
      <c r="F15" s="15"/>
      <c r="G15" s="16"/>
      <c r="I15" s="7"/>
      <c r="J15" s="7"/>
      <c r="K15" s="7"/>
    </row>
    <row r="16" spans="1:11" x14ac:dyDescent="0.25">
      <c r="A16" s="17" t="s">
        <v>10</v>
      </c>
      <c r="B16" s="17" t="s">
        <v>12</v>
      </c>
      <c r="C16" s="17" t="s">
        <v>10</v>
      </c>
      <c r="D16" s="17" t="s">
        <v>10</v>
      </c>
      <c r="E16" s="17" t="s">
        <v>11</v>
      </c>
      <c r="F16" s="17" t="s">
        <v>10</v>
      </c>
      <c r="G16" s="17" t="s">
        <v>10</v>
      </c>
    </row>
    <row r="17" spans="1:11" x14ac:dyDescent="0.25">
      <c r="A17" s="18">
        <v>9</v>
      </c>
      <c r="B17" s="18">
        <v>10</v>
      </c>
      <c r="C17" s="18">
        <v>11</v>
      </c>
      <c r="D17" s="18">
        <v>12</v>
      </c>
      <c r="E17" s="18">
        <v>13</v>
      </c>
      <c r="F17" s="18">
        <v>14</v>
      </c>
      <c r="G17" s="18">
        <v>15</v>
      </c>
      <c r="I17" s="7">
        <f>IF(COUNTA(A23:G23)&lt;7, "Aim to workout for 7 days", COUNTIF(A23:G23, "Completed")/7)</f>
        <v>0.8571428571428571</v>
      </c>
      <c r="J17" s="7"/>
      <c r="K17" s="7"/>
    </row>
    <row r="18" spans="1:11" x14ac:dyDescent="0.25">
      <c r="A18" s="14" t="s">
        <v>19</v>
      </c>
      <c r="B18" s="14" t="s">
        <v>19</v>
      </c>
      <c r="C18" s="14" t="s">
        <v>19</v>
      </c>
      <c r="D18" s="14" t="s">
        <v>19</v>
      </c>
      <c r="E18" s="14" t="s">
        <v>18</v>
      </c>
      <c r="F18" s="14" t="s">
        <v>19</v>
      </c>
      <c r="G18" s="14" t="s">
        <v>19</v>
      </c>
      <c r="I18" s="7"/>
      <c r="J18" s="7"/>
      <c r="K18" s="7"/>
    </row>
    <row r="19" spans="1:11" x14ac:dyDescent="0.25">
      <c r="A19" s="14"/>
      <c r="B19" s="14"/>
      <c r="C19" s="14"/>
      <c r="D19" s="14"/>
      <c r="E19" s="15"/>
      <c r="F19" s="14"/>
      <c r="G19" s="14"/>
      <c r="I19" s="7"/>
      <c r="J19" s="7"/>
      <c r="K19" s="7"/>
    </row>
    <row r="20" spans="1:11" x14ac:dyDescent="0.25">
      <c r="A20" s="14"/>
      <c r="B20" s="14"/>
      <c r="C20" s="14"/>
      <c r="D20" s="14"/>
      <c r="E20" s="15"/>
      <c r="F20" s="14"/>
      <c r="G20" s="14"/>
      <c r="I20" s="7"/>
      <c r="J20" s="7"/>
      <c r="K20" s="7"/>
    </row>
    <row r="21" spans="1:11" x14ac:dyDescent="0.25">
      <c r="A21" s="14"/>
      <c r="B21" s="14"/>
      <c r="C21" s="14"/>
      <c r="D21" s="14"/>
      <c r="E21" s="15"/>
      <c r="F21" s="14"/>
      <c r="G21" s="14"/>
      <c r="I21" s="7"/>
      <c r="J21" s="7"/>
      <c r="K21" s="7"/>
    </row>
    <row r="22" spans="1:11" x14ac:dyDescent="0.25">
      <c r="A22" s="16"/>
      <c r="B22" s="16"/>
      <c r="C22" s="16"/>
      <c r="D22" s="16"/>
      <c r="E22" s="15"/>
      <c r="F22" s="16"/>
      <c r="G22" s="16"/>
      <c r="I22" s="7"/>
      <c r="J22" s="7"/>
      <c r="K22" s="7"/>
    </row>
    <row r="23" spans="1:11" x14ac:dyDescent="0.25">
      <c r="A23" s="17" t="s">
        <v>10</v>
      </c>
      <c r="B23" s="17" t="s">
        <v>10</v>
      </c>
      <c r="C23" s="17" t="s">
        <v>24</v>
      </c>
      <c r="D23" s="17" t="s">
        <v>10</v>
      </c>
      <c r="E23" s="17" t="s">
        <v>10</v>
      </c>
      <c r="F23" s="17" t="s">
        <v>10</v>
      </c>
      <c r="G23" s="17" t="s">
        <v>10</v>
      </c>
    </row>
    <row r="24" spans="1:11" x14ac:dyDescent="0.25">
      <c r="A24" s="18">
        <v>16</v>
      </c>
      <c r="B24" s="18">
        <v>17</v>
      </c>
      <c r="C24" s="18">
        <v>18</v>
      </c>
      <c r="D24" s="18">
        <v>19</v>
      </c>
      <c r="E24" s="18">
        <v>20</v>
      </c>
      <c r="F24" s="18">
        <v>21</v>
      </c>
      <c r="G24" s="18">
        <v>22</v>
      </c>
      <c r="I24" s="7">
        <f>IF(COUNTA(A30:G30)&lt;7, "Aim to exercise for 7 days", COUNTIF(A30:G30, "Completed")/7)</f>
        <v>0.8571428571428571</v>
      </c>
      <c r="J24" s="7"/>
      <c r="K24" s="7"/>
    </row>
    <row r="25" spans="1:11" x14ac:dyDescent="0.25">
      <c r="A25" s="14" t="s">
        <v>19</v>
      </c>
      <c r="B25" s="14" t="s">
        <v>19</v>
      </c>
      <c r="C25" s="14" t="s">
        <v>19</v>
      </c>
      <c r="D25" s="14" t="s">
        <v>19</v>
      </c>
      <c r="E25" s="14" t="s">
        <v>19</v>
      </c>
      <c r="F25" s="14" t="s">
        <v>19</v>
      </c>
      <c r="G25" s="14" t="s">
        <v>19</v>
      </c>
      <c r="I25" s="7"/>
      <c r="J25" s="7"/>
      <c r="K25" s="7"/>
    </row>
    <row r="26" spans="1:11" x14ac:dyDescent="0.25">
      <c r="A26" s="14"/>
      <c r="B26" s="14"/>
      <c r="C26" s="14"/>
      <c r="D26" s="14"/>
      <c r="E26" s="14"/>
      <c r="F26" s="14"/>
      <c r="G26" s="14"/>
      <c r="I26" s="7"/>
      <c r="J26" s="7"/>
      <c r="K26" s="7"/>
    </row>
    <row r="27" spans="1:11" x14ac:dyDescent="0.25">
      <c r="A27" s="14"/>
      <c r="B27" s="14"/>
      <c r="C27" s="14"/>
      <c r="D27" s="14"/>
      <c r="E27" s="14"/>
      <c r="F27" s="14"/>
      <c r="G27" s="14"/>
      <c r="I27" s="7"/>
      <c r="J27" s="7"/>
      <c r="K27" s="7"/>
    </row>
    <row r="28" spans="1:11" x14ac:dyDescent="0.25">
      <c r="A28" s="14"/>
      <c r="B28" s="14"/>
      <c r="C28" s="14"/>
      <c r="D28" s="14"/>
      <c r="E28" s="14"/>
      <c r="F28" s="14"/>
      <c r="G28" s="14"/>
      <c r="I28" s="7"/>
      <c r="J28" s="7"/>
      <c r="K28" s="7"/>
    </row>
    <row r="29" spans="1:11" x14ac:dyDescent="0.25">
      <c r="A29" s="16"/>
      <c r="B29" s="16"/>
      <c r="C29" s="16"/>
      <c r="D29" s="16"/>
      <c r="E29" s="16"/>
      <c r="F29" s="16"/>
      <c r="G29" s="16"/>
      <c r="I29" s="7"/>
      <c r="J29" s="7"/>
      <c r="K29" s="7"/>
    </row>
    <row r="30" spans="1:11" x14ac:dyDescent="0.25">
      <c r="A30" s="17" t="s">
        <v>10</v>
      </c>
      <c r="B30" s="17" t="s">
        <v>10</v>
      </c>
      <c r="C30" s="17" t="s">
        <v>10</v>
      </c>
      <c r="D30" s="17" t="s">
        <v>24</v>
      </c>
      <c r="E30" s="17" t="s">
        <v>10</v>
      </c>
      <c r="F30" s="17" t="s">
        <v>10</v>
      </c>
      <c r="G30" s="17" t="s">
        <v>10</v>
      </c>
    </row>
    <row r="31" spans="1:11" x14ac:dyDescent="0.25">
      <c r="A31" s="18">
        <v>23</v>
      </c>
      <c r="B31" s="18">
        <v>24</v>
      </c>
      <c r="C31" s="18">
        <v>25</v>
      </c>
      <c r="D31" s="18">
        <v>26</v>
      </c>
      <c r="E31" s="18">
        <v>27</v>
      </c>
      <c r="F31" s="18">
        <v>28</v>
      </c>
      <c r="G31" s="18">
        <v>29</v>
      </c>
      <c r="I31" s="7" t="str">
        <f>IF(COUNTA(A37:G37)&lt;7, "Aim to exercise for 7 days", COUNTIF(A37:G37, "Completed")/7)</f>
        <v>Aim to exercise for 7 days</v>
      </c>
      <c r="J31" s="7"/>
      <c r="K31" s="7"/>
    </row>
    <row r="32" spans="1:11" x14ac:dyDescent="0.25">
      <c r="A32" s="14" t="s">
        <v>19</v>
      </c>
      <c r="B32" s="14" t="s">
        <v>19</v>
      </c>
      <c r="C32" s="14" t="s">
        <v>19</v>
      </c>
      <c r="D32" s="14" t="s">
        <v>19</v>
      </c>
      <c r="E32" s="14" t="s">
        <v>19</v>
      </c>
      <c r="F32" s="14" t="s">
        <v>19</v>
      </c>
      <c r="G32" s="14" t="s">
        <v>19</v>
      </c>
      <c r="I32" s="7"/>
      <c r="J32" s="7"/>
      <c r="K32" s="7"/>
    </row>
    <row r="33" spans="1:11" x14ac:dyDescent="0.25">
      <c r="A33" s="14"/>
      <c r="B33" s="14"/>
      <c r="C33" s="14"/>
      <c r="D33" s="14"/>
      <c r="E33" s="14"/>
      <c r="F33" s="14"/>
      <c r="G33" s="14"/>
      <c r="I33" s="7"/>
      <c r="J33" s="7"/>
      <c r="K33" s="7"/>
    </row>
    <row r="34" spans="1:11" x14ac:dyDescent="0.25">
      <c r="A34" s="14"/>
      <c r="B34" s="14"/>
      <c r="C34" s="14"/>
      <c r="D34" s="14"/>
      <c r="E34" s="14"/>
      <c r="F34" s="14"/>
      <c r="G34" s="14"/>
      <c r="I34" s="7"/>
      <c r="J34" s="7"/>
      <c r="K34" s="7"/>
    </row>
    <row r="35" spans="1:11" x14ac:dyDescent="0.25">
      <c r="A35" s="14"/>
      <c r="B35" s="14"/>
      <c r="C35" s="14"/>
      <c r="D35" s="14"/>
      <c r="E35" s="14"/>
      <c r="F35" s="14"/>
      <c r="G35" s="14"/>
      <c r="I35" s="7"/>
      <c r="J35" s="7"/>
      <c r="K35" s="7"/>
    </row>
    <row r="36" spans="1:11" x14ac:dyDescent="0.25">
      <c r="A36" s="16"/>
      <c r="B36" s="16"/>
      <c r="C36" s="16"/>
      <c r="D36" s="16"/>
      <c r="E36" s="16"/>
      <c r="F36" s="16"/>
      <c r="G36" s="16"/>
      <c r="I36" s="7"/>
      <c r="J36" s="7"/>
      <c r="K36" s="7"/>
    </row>
    <row r="37" spans="1:11" x14ac:dyDescent="0.25">
      <c r="A37" s="17" t="s">
        <v>10</v>
      </c>
      <c r="B37" s="17" t="s">
        <v>10</v>
      </c>
      <c r="C37" s="17" t="s">
        <v>10</v>
      </c>
      <c r="D37" s="17" t="s">
        <v>10</v>
      </c>
      <c r="E37" s="17" t="s">
        <v>10</v>
      </c>
      <c r="F37" s="5"/>
      <c r="G37" s="5"/>
    </row>
    <row r="38" spans="1:11" x14ac:dyDescent="0.25">
      <c r="A38">
        <v>30</v>
      </c>
      <c r="I38" s="7" t="str">
        <f>IF(COUNTA(A44)&lt;1, "Aim to exercise for x/1 days", COUNTIF(A44, "Completed")/1)</f>
        <v>Aim to exercise for x/1 days</v>
      </c>
      <c r="J38" s="7"/>
      <c r="K38" s="7"/>
    </row>
    <row r="39" spans="1:11" x14ac:dyDescent="0.25">
      <c r="A39" s="9"/>
      <c r="B39" s="8"/>
      <c r="C39" s="8"/>
      <c r="D39" s="8"/>
      <c r="E39" s="8"/>
      <c r="F39" s="8"/>
      <c r="G39" s="8"/>
      <c r="I39" s="7"/>
      <c r="J39" s="7"/>
      <c r="K39" s="7"/>
    </row>
    <row r="40" spans="1:11" x14ac:dyDescent="0.25">
      <c r="A40" s="8"/>
      <c r="B40" s="8"/>
      <c r="C40" s="8"/>
      <c r="D40" s="8"/>
      <c r="E40" s="8"/>
      <c r="F40" s="8"/>
      <c r="G40" s="8"/>
      <c r="I40" s="7"/>
      <c r="J40" s="7"/>
      <c r="K40" s="7"/>
    </row>
    <row r="41" spans="1:11" x14ac:dyDescent="0.25">
      <c r="A41" s="8"/>
      <c r="B41" s="8"/>
      <c r="C41" s="8"/>
      <c r="D41" s="8"/>
      <c r="E41" s="8"/>
      <c r="F41" s="8"/>
      <c r="G41" s="8"/>
      <c r="I41" s="7"/>
      <c r="J41" s="7"/>
      <c r="K41" s="7"/>
    </row>
    <row r="42" spans="1:11" x14ac:dyDescent="0.25">
      <c r="A42" s="8"/>
      <c r="B42" s="8"/>
      <c r="C42" s="8"/>
      <c r="D42" s="8"/>
      <c r="E42" s="8"/>
      <c r="F42" s="8"/>
      <c r="G42" s="8"/>
      <c r="I42" s="7"/>
      <c r="J42" s="7"/>
      <c r="K42" s="7"/>
    </row>
    <row r="43" spans="1:11" x14ac:dyDescent="0.25">
      <c r="A43" s="8"/>
      <c r="B43" s="8"/>
      <c r="C43" s="8"/>
      <c r="D43" s="8"/>
      <c r="E43" s="8"/>
      <c r="F43" s="8"/>
      <c r="G43" s="8"/>
      <c r="I43" s="7"/>
      <c r="J43" s="7"/>
      <c r="K43" s="7"/>
    </row>
    <row r="44" spans="1:11" x14ac:dyDescent="0.25">
      <c r="A44" s="5"/>
      <c r="B44" s="5"/>
      <c r="C44" s="5"/>
      <c r="D44" s="5"/>
      <c r="E44" s="5"/>
      <c r="F44" s="5"/>
      <c r="G44" s="5"/>
    </row>
  </sheetData>
  <mergeCells count="49">
    <mergeCell ref="G39:G43"/>
    <mergeCell ref="I38:K43"/>
    <mergeCell ref="A39:A43"/>
    <mergeCell ref="B39:B43"/>
    <mergeCell ref="C39:C43"/>
    <mergeCell ref="D39:D43"/>
    <mergeCell ref="E39:E43"/>
    <mergeCell ref="F39:F43"/>
    <mergeCell ref="I31:K36"/>
    <mergeCell ref="A32:A36"/>
    <mergeCell ref="B32:B36"/>
    <mergeCell ref="C32:C36"/>
    <mergeCell ref="D32:D36"/>
    <mergeCell ref="E32:E36"/>
    <mergeCell ref="F32:F36"/>
    <mergeCell ref="G32:G36"/>
    <mergeCell ref="I24:K29"/>
    <mergeCell ref="A25:A29"/>
    <mergeCell ref="B25:B29"/>
    <mergeCell ref="C25:C29"/>
    <mergeCell ref="D25:D29"/>
    <mergeCell ref="E25:E29"/>
    <mergeCell ref="F25:F29"/>
    <mergeCell ref="G25:G29"/>
    <mergeCell ref="I17:K22"/>
    <mergeCell ref="A18:A22"/>
    <mergeCell ref="B18:B22"/>
    <mergeCell ref="C18:C22"/>
    <mergeCell ref="D18:D22"/>
    <mergeCell ref="E18:E22"/>
    <mergeCell ref="F18:F22"/>
    <mergeCell ref="G18:G22"/>
    <mergeCell ref="I10:K15"/>
    <mergeCell ref="A11:A15"/>
    <mergeCell ref="B11:B15"/>
    <mergeCell ref="C11:C15"/>
    <mergeCell ref="D11:D15"/>
    <mergeCell ref="E11:E15"/>
    <mergeCell ref="F11:F15"/>
    <mergeCell ref="G11:G15"/>
    <mergeCell ref="B1:G1"/>
    <mergeCell ref="I3:K8"/>
    <mergeCell ref="A4:A8"/>
    <mergeCell ref="B4:B8"/>
    <mergeCell ref="C4:C8"/>
    <mergeCell ref="D4:D8"/>
    <mergeCell ref="E4:E8"/>
    <mergeCell ref="F4:F8"/>
    <mergeCell ref="G4:G8"/>
  </mergeCells>
  <conditionalFormatting sqref="I3">
    <cfRule type="cellIs" dxfId="83" priority="31" stopIfTrue="1" operator="greaterThanOrEqual">
      <formula>0.9</formula>
    </cfRule>
    <cfRule type="cellIs" dxfId="82" priority="32" operator="between">
      <formula>0.8</formula>
      <formula>0.9</formula>
    </cfRule>
    <cfRule type="cellIs" dxfId="81" priority="33" operator="between">
      <formula>0.6</formula>
      <formula>0.8</formula>
    </cfRule>
    <cfRule type="cellIs" dxfId="80" priority="34" operator="between">
      <formula>0.5</formula>
      <formula>0.6</formula>
    </cfRule>
    <cfRule type="cellIs" dxfId="79" priority="35" operator="between">
      <formula>0.3</formula>
      <formula>0.5</formula>
    </cfRule>
    <cfRule type="cellIs" dxfId="78" priority="36" operator="between">
      <formula>0</formula>
      <formula>0.3</formula>
    </cfRule>
  </conditionalFormatting>
  <conditionalFormatting sqref="I10">
    <cfRule type="cellIs" dxfId="77" priority="25" stopIfTrue="1" operator="greaterThanOrEqual">
      <formula>0.9</formula>
    </cfRule>
    <cfRule type="cellIs" dxfId="76" priority="26" operator="between">
      <formula>0.8</formula>
      <formula>0.9</formula>
    </cfRule>
    <cfRule type="cellIs" dxfId="75" priority="27" operator="between">
      <formula>0.6</formula>
      <formula>0.8</formula>
    </cfRule>
    <cfRule type="cellIs" dxfId="74" priority="28" operator="between">
      <formula>0.5</formula>
      <formula>0.6</formula>
    </cfRule>
    <cfRule type="cellIs" dxfId="73" priority="29" operator="between">
      <formula>0.3</formula>
      <formula>0.5</formula>
    </cfRule>
    <cfRule type="cellIs" dxfId="72" priority="30" operator="between">
      <formula>0</formula>
      <formula>0.3</formula>
    </cfRule>
  </conditionalFormatting>
  <conditionalFormatting sqref="I17">
    <cfRule type="cellIs" dxfId="71" priority="19" stopIfTrue="1" operator="greaterThanOrEqual">
      <formula>0.9</formula>
    </cfRule>
    <cfRule type="cellIs" dxfId="70" priority="20" operator="between">
      <formula>0.8</formula>
      <formula>0.9</formula>
    </cfRule>
    <cfRule type="cellIs" dxfId="69" priority="21" operator="between">
      <formula>0.6</formula>
      <formula>0.8</formula>
    </cfRule>
    <cfRule type="cellIs" dxfId="68" priority="22" operator="between">
      <formula>0.5</formula>
      <formula>0.6</formula>
    </cfRule>
    <cfRule type="cellIs" dxfId="67" priority="23" operator="between">
      <formula>0.3</formula>
      <formula>0.5</formula>
    </cfRule>
    <cfRule type="cellIs" dxfId="66" priority="24" operator="between">
      <formula>0</formula>
      <formula>0.3</formula>
    </cfRule>
  </conditionalFormatting>
  <conditionalFormatting sqref="I24">
    <cfRule type="cellIs" dxfId="65" priority="13" stopIfTrue="1" operator="greaterThanOrEqual">
      <formula>0.9</formula>
    </cfRule>
    <cfRule type="cellIs" dxfId="64" priority="14" operator="between">
      <formula>0.8</formula>
      <formula>0.9</formula>
    </cfRule>
    <cfRule type="cellIs" dxfId="63" priority="15" operator="between">
      <formula>0.6</formula>
      <formula>0.8</formula>
    </cfRule>
    <cfRule type="cellIs" dxfId="62" priority="16" operator="between">
      <formula>0.5</formula>
      <formula>0.6</formula>
    </cfRule>
    <cfRule type="cellIs" dxfId="61" priority="17" operator="between">
      <formula>0.3</formula>
      <formula>0.5</formula>
    </cfRule>
    <cfRule type="cellIs" dxfId="60" priority="18" operator="between">
      <formula>0</formula>
      <formula>0.3</formula>
    </cfRule>
  </conditionalFormatting>
  <conditionalFormatting sqref="I31">
    <cfRule type="cellIs" dxfId="59" priority="7" stopIfTrue="1" operator="greaterThanOrEqual">
      <formula>0.9</formula>
    </cfRule>
    <cfRule type="cellIs" dxfId="58" priority="8" operator="between">
      <formula>0.8</formula>
      <formula>0.9</formula>
    </cfRule>
    <cfRule type="cellIs" dxfId="57" priority="9" operator="between">
      <formula>0.6</formula>
      <formula>0.8</formula>
    </cfRule>
    <cfRule type="cellIs" dxfId="56" priority="10" operator="between">
      <formula>0.5</formula>
      <formula>0.6</formula>
    </cfRule>
    <cfRule type="cellIs" dxfId="55" priority="11" operator="between">
      <formula>0.3</formula>
      <formula>0.5</formula>
    </cfRule>
    <cfRule type="cellIs" dxfId="54" priority="12" operator="between">
      <formula>0</formula>
      <formula>0.3</formula>
    </cfRule>
  </conditionalFormatting>
  <conditionalFormatting sqref="I38">
    <cfRule type="cellIs" dxfId="53" priority="1" stopIfTrue="1" operator="greaterThanOrEqual">
      <formula>0.9</formula>
    </cfRule>
    <cfRule type="cellIs" dxfId="52" priority="2" operator="between">
      <formula>0.8</formula>
      <formula>0.9</formula>
    </cfRule>
    <cfRule type="cellIs" dxfId="51" priority="3" operator="between">
      <formula>0.6</formula>
      <formula>0.8</formula>
    </cfRule>
    <cfRule type="cellIs" dxfId="50" priority="4" operator="between">
      <formula>0.5</formula>
      <formula>0.6</formula>
    </cfRule>
    <cfRule type="cellIs" dxfId="49" priority="5" operator="between">
      <formula>0.3</formula>
      <formula>0.5</formula>
    </cfRule>
    <cfRule type="cellIs" dxfId="48" priority="6" operator="between">
      <formula>0</formula>
      <formula>0.3</formula>
    </cfRule>
  </conditionalFormatting>
  <dataValidations count="1">
    <dataValidation type="list" allowBlank="1" showInputMessage="1" showErrorMessage="1" sqref="A44:G44 A9:G9 A16:G16 A23:G23 A30:G30 A37:G37" xr:uid="{90A118E3-5423-45AE-9B8A-DC9FB1C82207}">
      <formula1>"Completed, Will Finish By Monday, Will Finish By Tuesday, Will Finish By Wednesday, Will Finish By Thursday, Will Finish By Friday, Will Finish By Saturday, Will Finish By Sunday"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73B4A-9087-42BE-9346-3FEEFA128C22}">
  <sheetPr codeName="Sheet4"/>
  <dimension ref="A1:W8"/>
  <sheetViews>
    <sheetView workbookViewId="0">
      <selection activeCell="H24" sqref="H24"/>
    </sheetView>
  </sheetViews>
  <sheetFormatPr defaultRowHeight="15" x14ac:dyDescent="0.25"/>
  <cols>
    <col min="1" max="1" width="12.5703125" bestFit="1" customWidth="1"/>
    <col min="7" max="7" width="12.7109375" bestFit="1" customWidth="1"/>
    <col min="13" max="13" width="12.7109375" bestFit="1" customWidth="1"/>
    <col min="19" max="19" width="12.7109375" bestFit="1" customWidth="1"/>
  </cols>
  <sheetData>
    <row r="1" spans="1:23" x14ac:dyDescent="0.25">
      <c r="A1" t="s">
        <v>13</v>
      </c>
      <c r="B1" s="2"/>
      <c r="C1" s="11" t="s">
        <v>14</v>
      </c>
      <c r="D1" s="11"/>
      <c r="E1" s="11"/>
      <c r="G1" t="s">
        <v>15</v>
      </c>
      <c r="L1" s="2"/>
      <c r="M1" t="s">
        <v>16</v>
      </c>
      <c r="S1" t="s">
        <v>17</v>
      </c>
    </row>
    <row r="2" spans="1:23" x14ac:dyDescent="0.25">
      <c r="A2" s="6">
        <f>DATE(2023,4, 8)</f>
        <v>45024</v>
      </c>
      <c r="B2" s="13" t="s">
        <v>9</v>
      </c>
      <c r="C2" s="7">
        <f>IF(COUNTA(B2:B8)&lt;7, "Aim for x/7 days", COUNTIF(B2:B8, "Pass")/7)</f>
        <v>0.7142857142857143</v>
      </c>
      <c r="D2" s="7"/>
      <c r="E2" s="7"/>
      <c r="G2" s="6">
        <f>A8+1</f>
        <v>45031</v>
      </c>
      <c r="H2" s="13" t="s">
        <v>9</v>
      </c>
      <c r="I2" s="7">
        <f>IF(COUNTA(H2:H8)&lt;7, "Aim for x/7 days", COUNTIF(H2:H8, "Pass")/7)</f>
        <v>0.8571428571428571</v>
      </c>
      <c r="J2" s="7"/>
      <c r="K2" s="7"/>
      <c r="L2" s="2"/>
      <c r="M2" s="6">
        <f>G8+1</f>
        <v>45038</v>
      </c>
      <c r="N2" s="13" t="s">
        <v>9</v>
      </c>
      <c r="O2" s="7" t="str">
        <f>IF(COUNTA(N2:N8)&lt;7, "Aim for 6/7 days", COUNTIF(N2:N8, "Pass")/7)</f>
        <v>Aim for 6/7 days</v>
      </c>
      <c r="P2" s="7"/>
      <c r="Q2" s="7"/>
      <c r="S2" s="6">
        <f>M8+1</f>
        <v>45045</v>
      </c>
      <c r="T2" s="13"/>
      <c r="U2" s="7" t="str">
        <f>IF(COUNTA(T2:T8)&lt;7, "Aim for 7/7 days", COUNTIF(T2:T8, "Pass")/7)</f>
        <v>Aim for 7/7 days</v>
      </c>
      <c r="V2" s="7"/>
      <c r="W2" s="7"/>
    </row>
    <row r="3" spans="1:23" x14ac:dyDescent="0.25">
      <c r="A3" s="6">
        <f>A2+1</f>
        <v>45025</v>
      </c>
      <c r="B3" s="13" t="s">
        <v>9</v>
      </c>
      <c r="C3" s="7"/>
      <c r="D3" s="7"/>
      <c r="E3" s="7"/>
      <c r="G3" s="6">
        <f>G2+1</f>
        <v>45032</v>
      </c>
      <c r="H3" s="13" t="s">
        <v>9</v>
      </c>
      <c r="I3" s="7"/>
      <c r="J3" s="7"/>
      <c r="K3" s="7"/>
      <c r="L3" s="2"/>
      <c r="M3" s="6">
        <f>M2+1</f>
        <v>45039</v>
      </c>
      <c r="N3" s="13" t="s">
        <v>9</v>
      </c>
      <c r="O3" s="7"/>
      <c r="P3" s="7"/>
      <c r="Q3" s="7"/>
      <c r="S3" s="6">
        <f>S2+1</f>
        <v>45046</v>
      </c>
      <c r="T3" s="13"/>
      <c r="U3" s="7"/>
      <c r="V3" s="7"/>
      <c r="W3" s="7"/>
    </row>
    <row r="4" spans="1:23" x14ac:dyDescent="0.25">
      <c r="A4" s="6">
        <f t="shared" ref="A4:A8" si="0">A3+1</f>
        <v>45026</v>
      </c>
      <c r="B4" s="13" t="s">
        <v>25</v>
      </c>
      <c r="C4" s="7"/>
      <c r="D4" s="7"/>
      <c r="E4" s="7"/>
      <c r="G4" s="6">
        <f t="shared" ref="G4:G8" si="1">G3+1</f>
        <v>45033</v>
      </c>
      <c r="H4" s="13" t="s">
        <v>9</v>
      </c>
      <c r="I4" s="7"/>
      <c r="J4" s="7"/>
      <c r="K4" s="7"/>
      <c r="L4" s="2"/>
      <c r="M4" s="6">
        <f t="shared" ref="M4:M8" si="2">M3+1</f>
        <v>45040</v>
      </c>
      <c r="N4" s="13" t="s">
        <v>9</v>
      </c>
      <c r="O4" s="7"/>
      <c r="P4" s="7"/>
      <c r="Q4" s="7"/>
      <c r="S4" s="6">
        <f t="shared" ref="S4:S8" si="3">S3+1</f>
        <v>45047</v>
      </c>
      <c r="T4" s="13"/>
      <c r="U4" s="7"/>
      <c r="V4" s="7"/>
      <c r="W4" s="7"/>
    </row>
    <row r="5" spans="1:23" x14ac:dyDescent="0.25">
      <c r="A5" s="6">
        <f t="shared" si="0"/>
        <v>45027</v>
      </c>
      <c r="B5" s="13" t="s">
        <v>9</v>
      </c>
      <c r="C5" s="7"/>
      <c r="D5" s="7"/>
      <c r="E5" s="7"/>
      <c r="G5" s="6">
        <f t="shared" si="1"/>
        <v>45034</v>
      </c>
      <c r="H5" s="13" t="s">
        <v>9</v>
      </c>
      <c r="I5" s="7"/>
      <c r="J5" s="7"/>
      <c r="K5" s="7"/>
      <c r="L5" s="2"/>
      <c r="M5" s="6">
        <f t="shared" si="2"/>
        <v>45041</v>
      </c>
      <c r="N5" s="13" t="s">
        <v>9</v>
      </c>
      <c r="O5" s="7"/>
      <c r="P5" s="7"/>
      <c r="Q5" s="7"/>
      <c r="S5" s="6">
        <f t="shared" si="3"/>
        <v>45048</v>
      </c>
      <c r="T5" s="13"/>
      <c r="U5" s="7"/>
      <c r="V5" s="7"/>
      <c r="W5" s="7"/>
    </row>
    <row r="6" spans="1:23" x14ac:dyDescent="0.25">
      <c r="A6" s="6">
        <f t="shared" si="0"/>
        <v>45028</v>
      </c>
      <c r="B6" s="13" t="s">
        <v>9</v>
      </c>
      <c r="C6" s="7"/>
      <c r="D6" s="7"/>
      <c r="E6" s="7"/>
      <c r="G6" s="6">
        <f t="shared" si="1"/>
        <v>45035</v>
      </c>
      <c r="H6" s="13" t="s">
        <v>25</v>
      </c>
      <c r="I6" s="7"/>
      <c r="J6" s="7"/>
      <c r="K6" s="7"/>
      <c r="L6" s="2"/>
      <c r="M6" s="6">
        <f t="shared" si="2"/>
        <v>45042</v>
      </c>
      <c r="N6" s="13" t="s">
        <v>9</v>
      </c>
      <c r="O6" s="7"/>
      <c r="P6" s="7"/>
      <c r="Q6" s="7"/>
      <c r="S6" s="6">
        <f t="shared" si="3"/>
        <v>45049</v>
      </c>
      <c r="T6" s="13"/>
      <c r="U6" s="7"/>
      <c r="V6" s="7"/>
      <c r="W6" s="7"/>
    </row>
    <row r="7" spans="1:23" x14ac:dyDescent="0.25">
      <c r="A7" s="6">
        <f t="shared" si="0"/>
        <v>45029</v>
      </c>
      <c r="B7" s="13" t="s">
        <v>25</v>
      </c>
      <c r="C7" s="7"/>
      <c r="D7" s="7"/>
      <c r="E7" s="7"/>
      <c r="G7" s="6">
        <f t="shared" si="1"/>
        <v>45036</v>
      </c>
      <c r="H7" s="13" t="s">
        <v>9</v>
      </c>
      <c r="I7" s="7"/>
      <c r="J7" s="7"/>
      <c r="K7" s="7"/>
      <c r="L7" s="2"/>
      <c r="M7" s="6">
        <f t="shared" si="2"/>
        <v>45043</v>
      </c>
      <c r="N7" s="13" t="s">
        <v>9</v>
      </c>
      <c r="O7" s="7"/>
      <c r="P7" s="7"/>
      <c r="Q7" s="7"/>
      <c r="S7" s="6">
        <f t="shared" si="3"/>
        <v>45050</v>
      </c>
      <c r="T7" s="13"/>
      <c r="U7" s="7"/>
      <c r="V7" s="7"/>
      <c r="W7" s="7"/>
    </row>
    <row r="8" spans="1:23" x14ac:dyDescent="0.25">
      <c r="A8" s="6">
        <f t="shared" si="0"/>
        <v>45030</v>
      </c>
      <c r="B8" s="13" t="s">
        <v>9</v>
      </c>
      <c r="C8" s="7"/>
      <c r="D8" s="7"/>
      <c r="E8" s="7"/>
      <c r="G8" s="6">
        <f t="shared" si="1"/>
        <v>45037</v>
      </c>
      <c r="H8" s="13" t="s">
        <v>9</v>
      </c>
      <c r="I8" s="7"/>
      <c r="J8" s="7"/>
      <c r="K8" s="7"/>
      <c r="L8" s="2"/>
      <c r="M8" s="6">
        <f t="shared" si="2"/>
        <v>45044</v>
      </c>
      <c r="N8" s="13"/>
      <c r="O8" s="7"/>
      <c r="P8" s="7"/>
      <c r="Q8" s="7"/>
      <c r="S8" s="6">
        <f t="shared" si="3"/>
        <v>45051</v>
      </c>
      <c r="T8" s="13"/>
      <c r="U8" s="7"/>
      <c r="V8" s="7"/>
      <c r="W8" s="7"/>
    </row>
  </sheetData>
  <mergeCells count="5">
    <mergeCell ref="C1:E1"/>
    <mergeCell ref="C2:E8"/>
    <mergeCell ref="I2:K8"/>
    <mergeCell ref="O2:Q8"/>
    <mergeCell ref="U2:W8"/>
  </mergeCells>
  <conditionalFormatting sqref="C2">
    <cfRule type="cellIs" dxfId="23" priority="19" stopIfTrue="1" operator="greaterThanOrEqual">
      <formula>0.9</formula>
    </cfRule>
    <cfRule type="cellIs" dxfId="22" priority="20" operator="between">
      <formula>0.8</formula>
      <formula>0.9</formula>
    </cfRule>
    <cfRule type="cellIs" dxfId="21" priority="21" operator="between">
      <formula>0.6</formula>
      <formula>0.8</formula>
    </cfRule>
    <cfRule type="cellIs" dxfId="20" priority="22" operator="between">
      <formula>0.5</formula>
      <formula>0.6</formula>
    </cfRule>
    <cfRule type="cellIs" dxfId="19" priority="23" operator="between">
      <formula>0.3</formula>
      <formula>0.5</formula>
    </cfRule>
    <cfRule type="cellIs" dxfId="18" priority="24" operator="between">
      <formula>0</formula>
      <formula>0.3</formula>
    </cfRule>
  </conditionalFormatting>
  <conditionalFormatting sqref="I2">
    <cfRule type="cellIs" dxfId="17" priority="13" stopIfTrue="1" operator="greaterThanOrEqual">
      <formula>0.9</formula>
    </cfRule>
    <cfRule type="cellIs" dxfId="16" priority="14" operator="between">
      <formula>0.8</formula>
      <formula>0.9</formula>
    </cfRule>
    <cfRule type="cellIs" dxfId="15" priority="15" operator="between">
      <formula>0.6</formula>
      <formula>0.8</formula>
    </cfRule>
    <cfRule type="cellIs" dxfId="14" priority="16" operator="between">
      <formula>0.5</formula>
      <formula>0.6</formula>
    </cfRule>
    <cfRule type="cellIs" dxfId="13" priority="17" operator="between">
      <formula>0.3</formula>
      <formula>0.5</formula>
    </cfRule>
    <cfRule type="cellIs" dxfId="12" priority="18" operator="between">
      <formula>0</formula>
      <formula>0.3</formula>
    </cfRule>
  </conditionalFormatting>
  <conditionalFormatting sqref="O2">
    <cfRule type="cellIs" dxfId="11" priority="7" stopIfTrue="1" operator="greaterThanOrEqual">
      <formula>0.9</formula>
    </cfRule>
    <cfRule type="cellIs" dxfId="10" priority="8" operator="between">
      <formula>0.8</formula>
      <formula>0.9</formula>
    </cfRule>
    <cfRule type="cellIs" dxfId="9" priority="9" operator="between">
      <formula>0.6</formula>
      <formula>0.8</formula>
    </cfRule>
    <cfRule type="cellIs" dxfId="8" priority="10" operator="between">
      <formula>0.5</formula>
      <formula>0.6</formula>
    </cfRule>
    <cfRule type="cellIs" dxfId="7" priority="11" operator="between">
      <formula>0.3</formula>
      <formula>0.5</formula>
    </cfRule>
    <cfRule type="cellIs" dxfId="6" priority="12" operator="between">
      <formula>0</formula>
      <formula>0.3</formula>
    </cfRule>
  </conditionalFormatting>
  <conditionalFormatting sqref="U2">
    <cfRule type="cellIs" dxfId="5" priority="1" stopIfTrue="1" operator="greaterThanOrEqual">
      <formula>0.9</formula>
    </cfRule>
    <cfRule type="cellIs" dxfId="4" priority="2" operator="between">
      <formula>0.8</formula>
      <formula>0.9</formula>
    </cfRule>
    <cfRule type="cellIs" dxfId="3" priority="3" operator="between">
      <formula>0.6</formula>
      <formula>0.8</formula>
    </cfRule>
    <cfRule type="cellIs" dxfId="2" priority="4" operator="between">
      <formula>0.5</formula>
      <formula>0.6</formula>
    </cfRule>
    <cfRule type="cellIs" dxfId="1" priority="5" operator="between">
      <formula>0.3</formula>
      <formula>0.5</formula>
    </cfRule>
    <cfRule type="cellIs" dxfId="0" priority="6" operator="between">
      <formula>0</formula>
      <formula>0.3</formula>
    </cfRule>
  </conditionalFormatting>
  <dataValidations count="1">
    <dataValidation type="list" allowBlank="1" showInputMessage="1" showErrorMessage="1" sqref="L2:L8 T2:T8 B2:B8 H2:H8 N2:N8" xr:uid="{A7C59CB9-7A74-4CC9-B968-3C75F15F8369}">
      <formula1>"Pass, Fail"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</vt:lpstr>
      <vt:lpstr>Calendar Template</vt:lpstr>
      <vt:lpstr>Progression Tracker</vt:lpstr>
      <vt:lpstr>April 2023</vt:lpstr>
      <vt:lpstr>Example Progress Tracker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Cao</dc:creator>
  <cp:lastModifiedBy>John Cao</cp:lastModifiedBy>
  <dcterms:created xsi:type="dcterms:W3CDTF">2023-04-25T21:05:30Z</dcterms:created>
  <dcterms:modified xsi:type="dcterms:W3CDTF">2023-04-27T19:46:23Z</dcterms:modified>
</cp:coreProperties>
</file>